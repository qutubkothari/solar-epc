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G:\My Drive\SAK-IT\014 - EPC Solar\"/>
    </mc:Choice>
  </mc:AlternateContent>
  <xr:revisionPtr revIDLastSave="0" documentId="13_ncr:1_{865B7CF7-A908-4FA9-90E3-0D46C0AE9B09}" xr6:coauthVersionLast="47" xr6:coauthVersionMax="47" xr10:uidLastSave="{00000000-0000-0000-0000-000000000000}"/>
  <bookViews>
    <workbookView xWindow="-120" yWindow="-120" windowWidth="20730" windowHeight="11160" tabRatio="834" activeTab="4" xr2:uid="{00000000-000D-0000-FFFF-FFFF00000000}"/>
  </bookViews>
  <sheets>
    <sheet name="QUOTATION" sheetId="1" r:id="rId1"/>
    <sheet name="Price List (BI-FACIAL)" sheetId="9" r:id="rId2"/>
    <sheet name="Price List (TOPCON)" sheetId="13" r:id="rId3"/>
    <sheet name="PL Pahal (TOPCON)" sheetId="14" r:id="rId4"/>
    <sheet name="Sheet2" sheetId="16" r:id="rId5"/>
    <sheet name="Sheet1" sheetId="17" r:id="rId6"/>
    <sheet name="DATA" sheetId="2" r:id="rId7"/>
  </sheets>
  <definedNames>
    <definedName name="_xlnm.Print_Area" localSheetId="6">DATA!#REF!</definedName>
    <definedName name="_xlnm.Print_Area" localSheetId="3">'PL Pahal (TOPCON)'!$A$1:$L$60</definedName>
    <definedName name="_xlnm.Print_Area" localSheetId="1">'Price List (BI-FACIAL)'!$A$1:$L$65</definedName>
    <definedName name="_xlnm.Print_Area" localSheetId="2">'Price List (TOPCON)'!$A$1:$L$60</definedName>
    <definedName name="_xlnm.Print_Area" localSheetId="0">QUOTATION!$A$1:$J$249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4" i="16" l="1"/>
  <c r="C30" i="16"/>
  <c r="C26" i="16"/>
  <c r="C21" i="16"/>
  <c r="C18" i="16"/>
  <c r="C15" i="16"/>
  <c r="C12" i="16"/>
  <c r="C9" i="16"/>
  <c r="C6" i="16"/>
  <c r="C3" i="16"/>
  <c r="D10" i="9"/>
  <c r="AH19" i="14"/>
  <c r="AF19" i="14"/>
  <c r="AE19" i="14"/>
  <c r="AD19" i="14"/>
  <c r="AC19" i="14"/>
  <c r="U19" i="14"/>
  <c r="T19" i="14"/>
  <c r="S19" i="14"/>
  <c r="R19" i="14"/>
  <c r="Q19" i="14"/>
  <c r="P19" i="14"/>
  <c r="AH18" i="14"/>
  <c r="AF18" i="14"/>
  <c r="AE18" i="14"/>
  <c r="AD18" i="14"/>
  <c r="AC18" i="14"/>
  <c r="U18" i="14"/>
  <c r="T18" i="14"/>
  <c r="S18" i="14"/>
  <c r="R18" i="14"/>
  <c r="Q18" i="14"/>
  <c r="P18" i="14"/>
  <c r="AH17" i="14"/>
  <c r="AF17" i="14"/>
  <c r="AE17" i="14"/>
  <c r="AD17" i="14"/>
  <c r="AC17" i="14"/>
  <c r="U17" i="14"/>
  <c r="T17" i="14"/>
  <c r="S17" i="14"/>
  <c r="R17" i="14"/>
  <c r="Q17" i="14"/>
  <c r="P17" i="14"/>
  <c r="AH16" i="14"/>
  <c r="AF16" i="14"/>
  <c r="AE16" i="14"/>
  <c r="AD16" i="14"/>
  <c r="AB16" i="14"/>
  <c r="AA16" i="14"/>
  <c r="U16" i="14"/>
  <c r="T16" i="14"/>
  <c r="S16" i="14"/>
  <c r="R16" i="14"/>
  <c r="Q16" i="14"/>
  <c r="P16" i="14"/>
  <c r="AH15" i="14"/>
  <c r="AF15" i="14"/>
  <c r="AE15" i="14"/>
  <c r="AD15" i="14"/>
  <c r="AB15" i="14"/>
  <c r="AA15" i="14"/>
  <c r="U15" i="14"/>
  <c r="T15" i="14"/>
  <c r="S15" i="14"/>
  <c r="R15" i="14"/>
  <c r="Q15" i="14"/>
  <c r="P15" i="14"/>
  <c r="AH14" i="14"/>
  <c r="AF14" i="14"/>
  <c r="AE14" i="14"/>
  <c r="AD14" i="14"/>
  <c r="AB14" i="14"/>
  <c r="AA14" i="14"/>
  <c r="U14" i="14"/>
  <c r="T14" i="14"/>
  <c r="S14" i="14"/>
  <c r="R14" i="14"/>
  <c r="Q14" i="14"/>
  <c r="P14" i="14"/>
  <c r="AG13" i="14"/>
  <c r="AF13" i="14"/>
  <c r="AD13" i="14"/>
  <c r="Z13" i="14"/>
  <c r="Y13" i="14"/>
  <c r="U13" i="14"/>
  <c r="T13" i="14"/>
  <c r="S13" i="14"/>
  <c r="R13" i="14"/>
  <c r="Q13" i="14"/>
  <c r="P13" i="14"/>
  <c r="AG12" i="14"/>
  <c r="AF12" i="14"/>
  <c r="AD12" i="14"/>
  <c r="Z12" i="14"/>
  <c r="Y12" i="14"/>
  <c r="U12" i="14"/>
  <c r="T12" i="14"/>
  <c r="S12" i="14"/>
  <c r="R12" i="14"/>
  <c r="Q12" i="14"/>
  <c r="V12" i="14" s="1"/>
  <c r="P12" i="14"/>
  <c r="AG11" i="14"/>
  <c r="AF11" i="14"/>
  <c r="AD11" i="14"/>
  <c r="Z11" i="14"/>
  <c r="Y11" i="14"/>
  <c r="U11" i="14"/>
  <c r="T11" i="14"/>
  <c r="S11" i="14"/>
  <c r="R11" i="14"/>
  <c r="Q11" i="14"/>
  <c r="P11" i="14"/>
  <c r="AL10" i="14"/>
  <c r="AL11" i="14" s="1"/>
  <c r="AL12" i="14" s="1"/>
  <c r="AL13" i="14" s="1"/>
  <c r="AL14" i="14" s="1"/>
  <c r="AL15" i="14" s="1"/>
  <c r="AL16" i="14" s="1"/>
  <c r="AL17" i="14" s="1"/>
  <c r="AJ10" i="14"/>
  <c r="AJ11" i="14" s="1"/>
  <c r="AJ12" i="14" s="1"/>
  <c r="AJ13" i="14" s="1"/>
  <c r="AJ14" i="14" s="1"/>
  <c r="AJ15" i="14" s="1"/>
  <c r="AJ16" i="14" s="1"/>
  <c r="AJ17" i="14" s="1"/>
  <c r="AJ18" i="14" s="1"/>
  <c r="AJ19" i="14" s="1"/>
  <c r="AG10" i="14"/>
  <c r="AF10" i="14"/>
  <c r="AD10" i="14"/>
  <c r="Z10" i="14"/>
  <c r="Y10" i="14"/>
  <c r="U10" i="14"/>
  <c r="T10" i="14"/>
  <c r="S10" i="14"/>
  <c r="R10" i="14"/>
  <c r="Q10" i="14"/>
  <c r="P10" i="14"/>
  <c r="AH18" i="13"/>
  <c r="AH19" i="13"/>
  <c r="AH17" i="13"/>
  <c r="AH15" i="13"/>
  <c r="AH16" i="13"/>
  <c r="AH14" i="13"/>
  <c r="AF18" i="13"/>
  <c r="AF19" i="13"/>
  <c r="AF17" i="13"/>
  <c r="AF15" i="13"/>
  <c r="AF16" i="13"/>
  <c r="AF14" i="13"/>
  <c r="AE18" i="13"/>
  <c r="AE19" i="13"/>
  <c r="AE17" i="13"/>
  <c r="AE15" i="13"/>
  <c r="AE16" i="13"/>
  <c r="AE14" i="13"/>
  <c r="AD15" i="13"/>
  <c r="AD16" i="13"/>
  <c r="AD17" i="13"/>
  <c r="AD18" i="13"/>
  <c r="AD19" i="13"/>
  <c r="AC18" i="13"/>
  <c r="AC19" i="13"/>
  <c r="AC17" i="13"/>
  <c r="AB15" i="13"/>
  <c r="AB16" i="13"/>
  <c r="AB14" i="13"/>
  <c r="AA15" i="13"/>
  <c r="AA16" i="13"/>
  <c r="AA14" i="13"/>
  <c r="AG11" i="13"/>
  <c r="AG12" i="13"/>
  <c r="AG13" i="13"/>
  <c r="AG10" i="13"/>
  <c r="AF11" i="13"/>
  <c r="AF12" i="13"/>
  <c r="AF13" i="13"/>
  <c r="AF10" i="13"/>
  <c r="AD11" i="13"/>
  <c r="AD12" i="13"/>
  <c r="AD13" i="13"/>
  <c r="AD10" i="13"/>
  <c r="Z11" i="13"/>
  <c r="Z12" i="13"/>
  <c r="Z13" i="13"/>
  <c r="Y11" i="13"/>
  <c r="Y12" i="13"/>
  <c r="Y13" i="13"/>
  <c r="Z10" i="13"/>
  <c r="Y10" i="13"/>
  <c r="U19" i="13"/>
  <c r="T19" i="13"/>
  <c r="S19" i="13"/>
  <c r="R19" i="13"/>
  <c r="Q19" i="13"/>
  <c r="P19" i="13"/>
  <c r="U18" i="13"/>
  <c r="T18" i="13"/>
  <c r="S18" i="13"/>
  <c r="R18" i="13"/>
  <c r="Q18" i="13"/>
  <c r="P18" i="13"/>
  <c r="U17" i="13"/>
  <c r="T17" i="13"/>
  <c r="S17" i="13"/>
  <c r="R17" i="13"/>
  <c r="Q17" i="13"/>
  <c r="P17" i="13"/>
  <c r="U16" i="13"/>
  <c r="T16" i="13"/>
  <c r="S16" i="13"/>
  <c r="R16" i="13"/>
  <c r="Q16" i="13"/>
  <c r="P16" i="13"/>
  <c r="U15" i="13"/>
  <c r="T15" i="13"/>
  <c r="S15" i="13"/>
  <c r="R15" i="13"/>
  <c r="Q15" i="13"/>
  <c r="P15" i="13"/>
  <c r="AD14" i="13"/>
  <c r="U14" i="13"/>
  <c r="T14" i="13"/>
  <c r="S14" i="13"/>
  <c r="R14" i="13"/>
  <c r="Q14" i="13"/>
  <c r="P14" i="13"/>
  <c r="U13" i="13"/>
  <c r="T13" i="13"/>
  <c r="S13" i="13"/>
  <c r="R13" i="13"/>
  <c r="Q13" i="13"/>
  <c r="P13" i="13"/>
  <c r="U12" i="13"/>
  <c r="T12" i="13"/>
  <c r="S12" i="13"/>
  <c r="R12" i="13"/>
  <c r="Q12" i="13"/>
  <c r="P12" i="13"/>
  <c r="U11" i="13"/>
  <c r="T11" i="13"/>
  <c r="S11" i="13"/>
  <c r="R11" i="13"/>
  <c r="Q11" i="13"/>
  <c r="P11" i="13"/>
  <c r="AL10" i="13"/>
  <c r="AL11" i="13" s="1"/>
  <c r="AL12" i="13" s="1"/>
  <c r="AL13" i="13" s="1"/>
  <c r="AL14" i="13" s="1"/>
  <c r="AL15" i="13" s="1"/>
  <c r="AL16" i="13" s="1"/>
  <c r="AL17" i="13" s="1"/>
  <c r="AJ10" i="13"/>
  <c r="AJ11" i="13" s="1"/>
  <c r="AJ12" i="13" s="1"/>
  <c r="AJ13" i="13" s="1"/>
  <c r="AJ14" i="13" s="1"/>
  <c r="AJ15" i="13" s="1"/>
  <c r="AJ16" i="13" s="1"/>
  <c r="AJ17" i="13" s="1"/>
  <c r="AJ18" i="13" s="1"/>
  <c r="AJ19" i="13" s="1"/>
  <c r="U10" i="13"/>
  <c r="T10" i="13"/>
  <c r="S10" i="13"/>
  <c r="R10" i="13"/>
  <c r="Q10" i="13"/>
  <c r="P10" i="13"/>
  <c r="AH19" i="9"/>
  <c r="AH20" i="9"/>
  <c r="AH21" i="9"/>
  <c r="AH22" i="9"/>
  <c r="AH23" i="9"/>
  <c r="AH24" i="9"/>
  <c r="AH18" i="9"/>
  <c r="AF19" i="9"/>
  <c r="AF20" i="9"/>
  <c r="AF21" i="9"/>
  <c r="AF22" i="9"/>
  <c r="AF23" i="9"/>
  <c r="AF24" i="9"/>
  <c r="AF18" i="9"/>
  <c r="AE19" i="9"/>
  <c r="AE20" i="9"/>
  <c r="AE21" i="9"/>
  <c r="AE22" i="9"/>
  <c r="AE23" i="9"/>
  <c r="AE24" i="9"/>
  <c r="AE18" i="9"/>
  <c r="AC19" i="9"/>
  <c r="AC20" i="9"/>
  <c r="AC21" i="9"/>
  <c r="AC22" i="9"/>
  <c r="AC23" i="9"/>
  <c r="AC24" i="9"/>
  <c r="AC18" i="9"/>
  <c r="AB19" i="9"/>
  <c r="AB20" i="9"/>
  <c r="AB21" i="9"/>
  <c r="AB22" i="9"/>
  <c r="AB23" i="9"/>
  <c r="AB24" i="9"/>
  <c r="AB18" i="9"/>
  <c r="AH16" i="9"/>
  <c r="AH17" i="9"/>
  <c r="AH15" i="9"/>
  <c r="AF16" i="9"/>
  <c r="AF17" i="9"/>
  <c r="AF15" i="9"/>
  <c r="AE16" i="9"/>
  <c r="AE17" i="9"/>
  <c r="AE15" i="9"/>
  <c r="AB16" i="9"/>
  <c r="AB17" i="9"/>
  <c r="AB15" i="9"/>
  <c r="AA16" i="9"/>
  <c r="AA17" i="9"/>
  <c r="AA15" i="9"/>
  <c r="AG11" i="9"/>
  <c r="AG12" i="9"/>
  <c r="AG13" i="9"/>
  <c r="AG14" i="9"/>
  <c r="AG10" i="9"/>
  <c r="AF11" i="9"/>
  <c r="AF12" i="9"/>
  <c r="AF13" i="9"/>
  <c r="AF14" i="9"/>
  <c r="AF10" i="9"/>
  <c r="AD11" i="9"/>
  <c r="AD12" i="9"/>
  <c r="AD13" i="9"/>
  <c r="AD14" i="9"/>
  <c r="AD10" i="9"/>
  <c r="Z11" i="9"/>
  <c r="Z12" i="9"/>
  <c r="Z13" i="9"/>
  <c r="Z14" i="9"/>
  <c r="Y11" i="9"/>
  <c r="Y12" i="9"/>
  <c r="Y13" i="9"/>
  <c r="Y14" i="9"/>
  <c r="Z10" i="9"/>
  <c r="Y10" i="9"/>
  <c r="V14" i="13" l="1"/>
  <c r="AI10" i="14"/>
  <c r="V16" i="14"/>
  <c r="AI17" i="14"/>
  <c r="AI11" i="14"/>
  <c r="V13" i="14"/>
  <c r="AI13" i="14"/>
  <c r="V14" i="14"/>
  <c r="AI15" i="14"/>
  <c r="V18" i="14"/>
  <c r="V10" i="14"/>
  <c r="AI14" i="14"/>
  <c r="V17" i="14"/>
  <c r="AI18" i="14"/>
  <c r="V11" i="14"/>
  <c r="AI12" i="14"/>
  <c r="V15" i="14"/>
  <c r="AI16" i="14"/>
  <c r="V19" i="14"/>
  <c r="AI19" i="14"/>
  <c r="AI16" i="13"/>
  <c r="AI15" i="13"/>
  <c r="V16" i="13"/>
  <c r="AI17" i="13"/>
  <c r="AI11" i="13"/>
  <c r="V10" i="13"/>
  <c r="V11" i="13"/>
  <c r="V15" i="13"/>
  <c r="AI19" i="13"/>
  <c r="V12" i="13"/>
  <c r="AI12" i="13"/>
  <c r="AI13" i="13"/>
  <c r="V17" i="13"/>
  <c r="V19" i="13"/>
  <c r="V13" i="13"/>
  <c r="V18" i="13"/>
  <c r="AI18" i="13"/>
  <c r="AI14" i="13"/>
  <c r="AI10" i="13"/>
  <c r="AI24" i="9"/>
  <c r="AI20" i="9"/>
  <c r="AI18" i="9"/>
  <c r="AI13" i="9"/>
  <c r="AI17" i="9"/>
  <c r="AI16" i="9"/>
  <c r="AI21" i="9"/>
  <c r="AI15" i="9"/>
  <c r="AI23" i="9"/>
  <c r="AI22" i="9"/>
  <c r="AI19" i="9"/>
  <c r="AI14" i="9"/>
  <c r="AI12" i="9"/>
  <c r="AI10" i="9"/>
  <c r="AI11" i="9"/>
  <c r="P11" i="9"/>
  <c r="Q11" i="9"/>
  <c r="R11" i="9"/>
  <c r="S11" i="9"/>
  <c r="T11" i="9"/>
  <c r="U11" i="9"/>
  <c r="P12" i="9"/>
  <c r="Q12" i="9"/>
  <c r="R12" i="9"/>
  <c r="S12" i="9"/>
  <c r="T12" i="9"/>
  <c r="U12" i="9"/>
  <c r="P13" i="9"/>
  <c r="Q13" i="9"/>
  <c r="R13" i="9"/>
  <c r="S13" i="9"/>
  <c r="T13" i="9"/>
  <c r="U13" i="9"/>
  <c r="P14" i="9"/>
  <c r="Q14" i="9"/>
  <c r="R14" i="9"/>
  <c r="S14" i="9"/>
  <c r="T14" i="9"/>
  <c r="U14" i="9"/>
  <c r="P15" i="9"/>
  <c r="Q15" i="9"/>
  <c r="R15" i="9"/>
  <c r="S15" i="9"/>
  <c r="T15" i="9"/>
  <c r="U15" i="9"/>
  <c r="P16" i="9"/>
  <c r="Q16" i="9"/>
  <c r="R16" i="9"/>
  <c r="S16" i="9"/>
  <c r="T16" i="9"/>
  <c r="U16" i="9"/>
  <c r="P17" i="9"/>
  <c r="Q17" i="9"/>
  <c r="R17" i="9"/>
  <c r="S17" i="9"/>
  <c r="T17" i="9"/>
  <c r="U17" i="9"/>
  <c r="P18" i="9"/>
  <c r="Q18" i="9"/>
  <c r="R18" i="9"/>
  <c r="S18" i="9"/>
  <c r="T18" i="9"/>
  <c r="U18" i="9"/>
  <c r="P19" i="9"/>
  <c r="Q19" i="9"/>
  <c r="R19" i="9"/>
  <c r="S19" i="9"/>
  <c r="T19" i="9"/>
  <c r="U19" i="9"/>
  <c r="P20" i="9"/>
  <c r="Q20" i="9"/>
  <c r="R20" i="9"/>
  <c r="S20" i="9"/>
  <c r="T20" i="9"/>
  <c r="U20" i="9"/>
  <c r="P21" i="9"/>
  <c r="Q21" i="9"/>
  <c r="R21" i="9"/>
  <c r="S21" i="9"/>
  <c r="T21" i="9"/>
  <c r="U21" i="9"/>
  <c r="P22" i="9"/>
  <c r="Q22" i="9"/>
  <c r="R22" i="9"/>
  <c r="S22" i="9"/>
  <c r="T22" i="9"/>
  <c r="U22" i="9"/>
  <c r="P23" i="9"/>
  <c r="Q23" i="9"/>
  <c r="R23" i="9"/>
  <c r="S23" i="9"/>
  <c r="T23" i="9"/>
  <c r="U23" i="9"/>
  <c r="P24" i="9"/>
  <c r="Q24" i="9"/>
  <c r="R24" i="9"/>
  <c r="S24" i="9"/>
  <c r="T24" i="9"/>
  <c r="U24" i="9"/>
  <c r="U10" i="9"/>
  <c r="T10" i="9"/>
  <c r="S10" i="9"/>
  <c r="R10" i="9"/>
  <c r="Q10" i="9"/>
  <c r="P10" i="9"/>
  <c r="V24" i="9" l="1"/>
  <c r="V12" i="9"/>
  <c r="V16" i="9"/>
  <c r="V20" i="9"/>
  <c r="V18" i="9"/>
  <c r="V14" i="9"/>
  <c r="V23" i="9"/>
  <c r="V19" i="9"/>
  <c r="V15" i="9"/>
  <c r="V11" i="9"/>
  <c r="V22" i="9"/>
  <c r="V10" i="9"/>
  <c r="V21" i="9"/>
  <c r="V17" i="9"/>
  <c r="V13" i="9"/>
  <c r="J54" i="1" l="1"/>
  <c r="D19" i="14"/>
  <c r="D18" i="14"/>
  <c r="D17" i="14"/>
  <c r="D16" i="14"/>
  <c r="D15" i="14"/>
  <c r="D14" i="14"/>
  <c r="O125" i="1" s="1"/>
  <c r="D13" i="14"/>
  <c r="D12" i="14"/>
  <c r="I12" i="14" s="1"/>
  <c r="J12" i="14" s="1"/>
  <c r="K12" i="14" s="1"/>
  <c r="D11" i="14"/>
  <c r="I11" i="14" s="1"/>
  <c r="J11" i="14" s="1"/>
  <c r="K11" i="14" s="1"/>
  <c r="D10" i="14"/>
  <c r="BD24" i="9"/>
  <c r="BD23" i="9"/>
  <c r="BI23" i="9" s="1"/>
  <c r="BJ23" i="9" s="1"/>
  <c r="BK23" i="9" s="1"/>
  <c r="BD22" i="9"/>
  <c r="BD21" i="9"/>
  <c r="BI21" i="9" s="1"/>
  <c r="BJ21" i="9" s="1"/>
  <c r="BK21" i="9" s="1"/>
  <c r="BD20" i="9"/>
  <c r="BD19" i="9"/>
  <c r="BI19" i="9" s="1"/>
  <c r="BJ19" i="9" s="1"/>
  <c r="BK19" i="9" s="1"/>
  <c r="BD18" i="9"/>
  <c r="BD17" i="9"/>
  <c r="BI17" i="9" s="1"/>
  <c r="BJ17" i="9" s="1"/>
  <c r="BK17" i="9" s="1"/>
  <c r="BD16" i="9"/>
  <c r="BD15" i="9"/>
  <c r="BI15" i="9" s="1"/>
  <c r="BJ15" i="9" s="1"/>
  <c r="BK15" i="9" s="1"/>
  <c r="BD14" i="9"/>
  <c r="BH13" i="9"/>
  <c r="BD13" i="9"/>
  <c r="BI13" i="9" s="1"/>
  <c r="BJ13" i="9" s="1"/>
  <c r="BK13" i="9" s="1"/>
  <c r="BH12" i="9"/>
  <c r="BD12" i="9"/>
  <c r="BE12" i="9" s="1"/>
  <c r="BD11" i="9"/>
  <c r="BI11" i="9" s="1"/>
  <c r="BJ11" i="9" s="1"/>
  <c r="BK11" i="9" s="1"/>
  <c r="BD10" i="9"/>
  <c r="BG10" i="9" s="1"/>
  <c r="BH10" i="9" s="1"/>
  <c r="AL10" i="9"/>
  <c r="AL11" i="9" s="1"/>
  <c r="AL12" i="9" s="1"/>
  <c r="AL13" i="9" s="1"/>
  <c r="AL14" i="9" s="1"/>
  <c r="AL15" i="9" s="1"/>
  <c r="AL16" i="9" s="1"/>
  <c r="AL17" i="9" s="1"/>
  <c r="AJ10" i="9"/>
  <c r="AJ11" i="9" s="1"/>
  <c r="AJ12" i="9" s="1"/>
  <c r="AJ13" i="9" s="1"/>
  <c r="AJ14" i="9" s="1"/>
  <c r="AJ15" i="9" s="1"/>
  <c r="AJ16" i="9" s="1"/>
  <c r="AJ17" i="9" s="1"/>
  <c r="AJ18" i="9" s="1"/>
  <c r="AJ19" i="9" s="1"/>
  <c r="AJ20" i="9" s="1"/>
  <c r="AJ21" i="9" s="1"/>
  <c r="AJ22" i="9" s="1"/>
  <c r="AJ23" i="9" s="1"/>
  <c r="AJ24" i="9" s="1"/>
  <c r="AN10" i="14" l="1"/>
  <c r="X10" i="14"/>
  <c r="M10" i="14"/>
  <c r="N10" i="14"/>
  <c r="AQ10" i="14" s="1"/>
  <c r="AR10" i="14" s="1"/>
  <c r="AS10" i="14" s="1"/>
  <c r="AP10" i="14"/>
  <c r="AK16" i="14"/>
  <c r="W16" i="14"/>
  <c r="M16" i="14"/>
  <c r="N16" i="14"/>
  <c r="AP16" i="14"/>
  <c r="AO16" i="14"/>
  <c r="AN16" i="14"/>
  <c r="X16" i="14"/>
  <c r="AK14" i="14"/>
  <c r="W14" i="14"/>
  <c r="M14" i="14"/>
  <c r="AO14" i="14"/>
  <c r="AN14" i="14"/>
  <c r="X14" i="14"/>
  <c r="AP14" i="14"/>
  <c r="N14" i="14"/>
  <c r="AO18" i="14"/>
  <c r="X18" i="14"/>
  <c r="N18" i="14"/>
  <c r="AN18" i="14"/>
  <c r="W18" i="14"/>
  <c r="M18" i="14"/>
  <c r="AK18" i="14"/>
  <c r="AP18" i="14"/>
  <c r="AP12" i="14"/>
  <c r="AN12" i="14"/>
  <c r="W12" i="14"/>
  <c r="M12" i="14"/>
  <c r="AK12" i="14"/>
  <c r="AO12" i="14"/>
  <c r="X12" i="14"/>
  <c r="N12" i="14"/>
  <c r="AK15" i="14"/>
  <c r="W15" i="14"/>
  <c r="M15" i="14"/>
  <c r="AO15" i="14"/>
  <c r="AP15" i="14"/>
  <c r="AN15" i="14"/>
  <c r="X15" i="14"/>
  <c r="N15" i="14"/>
  <c r="AP19" i="14"/>
  <c r="W19" i="14"/>
  <c r="M19" i="14"/>
  <c r="AK19" i="14"/>
  <c r="AO19" i="14"/>
  <c r="X19" i="14"/>
  <c r="N19" i="14"/>
  <c r="AN19" i="14"/>
  <c r="AN11" i="14"/>
  <c r="M11" i="14"/>
  <c r="N11" i="14"/>
  <c r="X11" i="14"/>
  <c r="AP11" i="14"/>
  <c r="AK13" i="14"/>
  <c r="AP13" i="14"/>
  <c r="AO13" i="14"/>
  <c r="X13" i="14"/>
  <c r="N13" i="14"/>
  <c r="W13" i="14"/>
  <c r="M13" i="14"/>
  <c r="AN13" i="14"/>
  <c r="AN17" i="14"/>
  <c r="W17" i="14"/>
  <c r="M17" i="14"/>
  <c r="AP17" i="14"/>
  <c r="N17" i="14"/>
  <c r="AK17" i="14"/>
  <c r="AO17" i="14"/>
  <c r="X17" i="14"/>
  <c r="I15" i="14"/>
  <c r="J15" i="14" s="1"/>
  <c r="K15" i="14" s="1"/>
  <c r="I17" i="14"/>
  <c r="J17" i="14" s="1"/>
  <c r="K17" i="14" s="1"/>
  <c r="I14" i="14"/>
  <c r="J14" i="14" s="1"/>
  <c r="K14" i="14" s="1"/>
  <c r="I10" i="14"/>
  <c r="J10" i="14" s="1"/>
  <c r="K10" i="14" s="1"/>
  <c r="G10" i="14"/>
  <c r="I13" i="14"/>
  <c r="J13" i="14" s="1"/>
  <c r="K13" i="14" s="1"/>
  <c r="I16" i="14"/>
  <c r="J16" i="14" s="1"/>
  <c r="K16" i="14" s="1"/>
  <c r="I18" i="14"/>
  <c r="J18" i="14" s="1"/>
  <c r="K18" i="14" s="1"/>
  <c r="I19" i="14"/>
  <c r="J19" i="14" s="1"/>
  <c r="K19" i="14" s="1"/>
  <c r="AY15" i="9"/>
  <c r="AY11" i="9"/>
  <c r="AY23" i="9"/>
  <c r="AY19" i="9"/>
  <c r="AY22" i="9"/>
  <c r="AY18" i="9"/>
  <c r="AY14" i="9"/>
  <c r="AY10" i="9"/>
  <c r="AY21" i="9"/>
  <c r="AY17" i="9"/>
  <c r="AY13" i="9"/>
  <c r="AY24" i="9"/>
  <c r="AY20" i="9"/>
  <c r="AY16" i="9"/>
  <c r="AY12" i="9"/>
  <c r="BE11" i="9"/>
  <c r="BE10" i="9"/>
  <c r="BG11" i="9"/>
  <c r="BH11" i="9" s="1"/>
  <c r="BI12" i="9"/>
  <c r="BJ12" i="9" s="1"/>
  <c r="BK12" i="9" s="1"/>
  <c r="BE13" i="9"/>
  <c r="BI14" i="9"/>
  <c r="BJ14" i="9" s="1"/>
  <c r="BK14" i="9" s="1"/>
  <c r="BI16" i="9"/>
  <c r="BJ16" i="9" s="1"/>
  <c r="BK16" i="9" s="1"/>
  <c r="BI18" i="9"/>
  <c r="BJ18" i="9" s="1"/>
  <c r="BK18" i="9" s="1"/>
  <c r="BI20" i="9"/>
  <c r="BJ20" i="9" s="1"/>
  <c r="BK20" i="9" s="1"/>
  <c r="BI22" i="9"/>
  <c r="BJ22" i="9" s="1"/>
  <c r="BK22" i="9" s="1"/>
  <c r="BI24" i="9"/>
  <c r="BJ24" i="9" s="1"/>
  <c r="BK24" i="9" s="1"/>
  <c r="BI10" i="9"/>
  <c r="BJ10" i="9" s="1"/>
  <c r="BK10" i="9" s="1"/>
  <c r="D19" i="13"/>
  <c r="D18" i="13"/>
  <c r="D17" i="13"/>
  <c r="D16" i="13"/>
  <c r="D15" i="13"/>
  <c r="D14" i="13"/>
  <c r="D13" i="13"/>
  <c r="D12" i="13"/>
  <c r="D11" i="13"/>
  <c r="D10" i="13"/>
  <c r="D11" i="9"/>
  <c r="X11" i="9" l="1"/>
  <c r="AP11" i="9"/>
  <c r="AQ17" i="14"/>
  <c r="AR17" i="14" s="1"/>
  <c r="AS17" i="14" s="1"/>
  <c r="AQ13" i="14"/>
  <c r="AR13" i="14" s="1"/>
  <c r="AS13" i="14" s="1"/>
  <c r="AT13" i="14" s="1"/>
  <c r="AU13" i="14"/>
  <c r="AU17" i="14"/>
  <c r="AT17" i="14"/>
  <c r="AV17" i="14" s="1"/>
  <c r="AW17" i="14" s="1"/>
  <c r="AQ18" i="14"/>
  <c r="AR18" i="14" s="1"/>
  <c r="AS18" i="14" s="1"/>
  <c r="AQ15" i="14"/>
  <c r="AR15" i="14" s="1"/>
  <c r="AS15" i="14" s="1"/>
  <c r="AQ12" i="14"/>
  <c r="AR12" i="14" s="1"/>
  <c r="AS12" i="14" s="1"/>
  <c r="AU10" i="14"/>
  <c r="AT10" i="14"/>
  <c r="AQ11" i="14"/>
  <c r="AR11" i="14" s="1"/>
  <c r="AS11" i="14" s="1"/>
  <c r="AQ19" i="14"/>
  <c r="AR19" i="14" s="1"/>
  <c r="AS19" i="14" s="1"/>
  <c r="AQ14" i="14"/>
  <c r="AR14" i="14" s="1"/>
  <c r="AS14" i="14" s="1"/>
  <c r="AQ16" i="14"/>
  <c r="AR16" i="14" s="1"/>
  <c r="AS16" i="14" s="1"/>
  <c r="E11" i="13"/>
  <c r="AP11" i="13"/>
  <c r="X11" i="13"/>
  <c r="M11" i="13"/>
  <c r="N11" i="13"/>
  <c r="AN11" i="13"/>
  <c r="AK19" i="13"/>
  <c r="AN19" i="13"/>
  <c r="AP19" i="13"/>
  <c r="N19" i="13"/>
  <c r="AO19" i="13"/>
  <c r="X19" i="13"/>
  <c r="W19" i="13"/>
  <c r="M19" i="13"/>
  <c r="E12" i="13"/>
  <c r="AK12" i="13"/>
  <c r="AP12" i="13"/>
  <c r="X12" i="13"/>
  <c r="AN12" i="13"/>
  <c r="W12" i="13"/>
  <c r="M12" i="13"/>
  <c r="AO12" i="13"/>
  <c r="N12" i="13"/>
  <c r="AN13" i="13"/>
  <c r="W13" i="13"/>
  <c r="M13" i="13"/>
  <c r="AK13" i="13"/>
  <c r="AO13" i="13"/>
  <c r="X13" i="13"/>
  <c r="N13" i="13"/>
  <c r="AP13" i="13"/>
  <c r="E15" i="13"/>
  <c r="AK15" i="13"/>
  <c r="AP15" i="13"/>
  <c r="X15" i="13"/>
  <c r="N15" i="13"/>
  <c r="AO15" i="13"/>
  <c r="M15" i="13"/>
  <c r="AN15" i="13"/>
  <c r="W15" i="13"/>
  <c r="E16" i="13"/>
  <c r="AN16" i="13"/>
  <c r="W16" i="13"/>
  <c r="M16" i="13"/>
  <c r="AK16" i="13"/>
  <c r="AP16" i="13"/>
  <c r="X16" i="13"/>
  <c r="AO16" i="13"/>
  <c r="N16" i="13"/>
  <c r="E17" i="13"/>
  <c r="AO17" i="13"/>
  <c r="X17" i="13"/>
  <c r="N17" i="13"/>
  <c r="AN17" i="13"/>
  <c r="W17" i="13"/>
  <c r="M17" i="13"/>
  <c r="AK17" i="13"/>
  <c r="AP17" i="13"/>
  <c r="E10" i="13"/>
  <c r="AP10" i="13"/>
  <c r="N10" i="13"/>
  <c r="X10" i="13"/>
  <c r="AN10" i="13"/>
  <c r="M10" i="13"/>
  <c r="AO14" i="13"/>
  <c r="X14" i="13"/>
  <c r="N14" i="13"/>
  <c r="AN14" i="13"/>
  <c r="W14" i="13"/>
  <c r="M14" i="13"/>
  <c r="AP14" i="13"/>
  <c r="AK14" i="13"/>
  <c r="E18" i="13"/>
  <c r="AP18" i="13"/>
  <c r="AO18" i="13"/>
  <c r="X18" i="13"/>
  <c r="N18" i="13"/>
  <c r="M18" i="13"/>
  <c r="AK18" i="13"/>
  <c r="W18" i="13"/>
  <c r="AN18" i="13"/>
  <c r="E14" i="13"/>
  <c r="I125" i="1"/>
  <c r="E19" i="13"/>
  <c r="E13" i="13"/>
  <c r="E11" i="9"/>
  <c r="M11" i="9"/>
  <c r="H19" i="13"/>
  <c r="I10" i="13"/>
  <c r="J10" i="13" s="1"/>
  <c r="K10" i="13" s="1"/>
  <c r="H18" i="13"/>
  <c r="I11" i="13"/>
  <c r="J11" i="13" s="1"/>
  <c r="K11" i="13" s="1"/>
  <c r="I15" i="13"/>
  <c r="J15" i="13" s="1"/>
  <c r="K15" i="13" s="1"/>
  <c r="I12" i="13"/>
  <c r="J12" i="13" s="1"/>
  <c r="K12" i="13" s="1"/>
  <c r="H16" i="13"/>
  <c r="H13" i="13"/>
  <c r="I17" i="13"/>
  <c r="J17" i="13" s="1"/>
  <c r="K17" i="13" s="1"/>
  <c r="G11" i="9"/>
  <c r="H11" i="9" s="1"/>
  <c r="N11" i="9"/>
  <c r="AN11" i="9"/>
  <c r="H14" i="13"/>
  <c r="I13" i="13"/>
  <c r="J13" i="13" s="1"/>
  <c r="K13" i="13" s="1"/>
  <c r="I19" i="13"/>
  <c r="J19" i="13" s="1"/>
  <c r="K19" i="13" s="1"/>
  <c r="K125" i="1"/>
  <c r="H12" i="13"/>
  <c r="G10" i="13"/>
  <c r="I14" i="13"/>
  <c r="J14" i="13" s="1"/>
  <c r="K14" i="13" s="1"/>
  <c r="H15" i="13"/>
  <c r="I16" i="13"/>
  <c r="J16" i="13" s="1"/>
  <c r="K16" i="13" s="1"/>
  <c r="H17" i="13"/>
  <c r="I18" i="13"/>
  <c r="J18" i="13" s="1"/>
  <c r="K18" i="13" s="1"/>
  <c r="I11" i="9"/>
  <c r="J11" i="9" s="1"/>
  <c r="K11" i="9" s="1"/>
  <c r="AQ11" i="9" l="1"/>
  <c r="AQ15" i="13"/>
  <c r="AV13" i="14"/>
  <c r="AW13" i="14" s="1"/>
  <c r="AT12" i="14"/>
  <c r="AU12" i="14"/>
  <c r="AU16" i="14"/>
  <c r="AT16" i="14"/>
  <c r="AV16" i="14" s="1"/>
  <c r="AW16" i="14" s="1"/>
  <c r="AU15" i="14"/>
  <c r="AT15" i="14"/>
  <c r="AU19" i="14"/>
  <c r="AT19" i="14"/>
  <c r="AT11" i="14"/>
  <c r="AU11" i="14"/>
  <c r="AT14" i="14"/>
  <c r="AU14" i="14"/>
  <c r="AV10" i="14"/>
  <c r="AW10" i="14" s="1"/>
  <c r="AU18" i="14"/>
  <c r="AT18" i="14"/>
  <c r="AV18" i="14" s="1"/>
  <c r="AW18" i="14" s="1"/>
  <c r="K103" i="1"/>
  <c r="AQ14" i="13"/>
  <c r="AQ12" i="13"/>
  <c r="AQ13" i="13"/>
  <c r="AR13" i="13" s="1"/>
  <c r="AS13" i="13" s="1"/>
  <c r="AQ19" i="13"/>
  <c r="AR19" i="13" s="1"/>
  <c r="AS19" i="13" s="1"/>
  <c r="AR15" i="13"/>
  <c r="AS15" i="13" s="1"/>
  <c r="AQ18" i="13"/>
  <c r="AR18" i="13" s="1"/>
  <c r="AS18" i="13" s="1"/>
  <c r="AQ10" i="13"/>
  <c r="AQ17" i="13"/>
  <c r="AQ16" i="13"/>
  <c r="AQ11" i="13"/>
  <c r="AR11" i="9"/>
  <c r="AS11" i="9" s="1"/>
  <c r="H10" i="13"/>
  <c r="H11" i="13"/>
  <c r="AV14" i="14" l="1"/>
  <c r="AW14" i="14" s="1"/>
  <c r="AV11" i="14"/>
  <c r="AW11" i="14" s="1"/>
  <c r="AV15" i="14"/>
  <c r="AW15" i="14" s="1"/>
  <c r="AV19" i="14"/>
  <c r="AW19" i="14" s="1"/>
  <c r="AV12" i="14"/>
  <c r="AW12" i="14" s="1"/>
  <c r="AT18" i="13"/>
  <c r="AU18" i="13"/>
  <c r="AR16" i="13"/>
  <c r="AS16" i="13" s="1"/>
  <c r="AR17" i="13"/>
  <c r="AS17" i="13" s="1"/>
  <c r="AU15" i="13"/>
  <c r="AT15" i="13"/>
  <c r="AR14" i="13"/>
  <c r="AS14" i="13" s="1"/>
  <c r="AR11" i="13"/>
  <c r="AS11" i="13" s="1"/>
  <c r="AU13" i="13"/>
  <c r="AT13" i="13"/>
  <c r="AR12" i="13"/>
  <c r="AS12" i="13" s="1"/>
  <c r="AR10" i="13"/>
  <c r="AS10" i="13" s="1"/>
  <c r="AT19" i="13"/>
  <c r="AU19" i="13"/>
  <c r="AT11" i="9"/>
  <c r="AU11" i="9"/>
  <c r="AV15" i="13" l="1"/>
  <c r="AW15" i="13" s="1"/>
  <c r="AV19" i="13"/>
  <c r="AW19" i="13" s="1"/>
  <c r="AV13" i="13"/>
  <c r="AW13" i="13" s="1"/>
  <c r="AU11" i="13"/>
  <c r="AT11" i="13"/>
  <c r="AT10" i="13"/>
  <c r="AU10" i="13"/>
  <c r="AU14" i="13"/>
  <c r="AT14" i="13"/>
  <c r="AU16" i="13"/>
  <c r="AT16" i="13"/>
  <c r="AU12" i="13"/>
  <c r="AT12" i="13"/>
  <c r="AT17" i="13"/>
  <c r="AU17" i="13"/>
  <c r="AV18" i="13"/>
  <c r="AW18" i="13" s="1"/>
  <c r="AV11" i="9"/>
  <c r="AW11" i="9" s="1"/>
  <c r="AV16" i="13" l="1"/>
  <c r="AW16" i="13" s="1"/>
  <c r="AV17" i="13"/>
  <c r="AW17" i="13" s="1"/>
  <c r="AV14" i="13"/>
  <c r="AW14" i="13" s="1"/>
  <c r="AV11" i="13"/>
  <c r="AW11" i="13" s="1"/>
  <c r="AV12" i="13"/>
  <c r="AW12" i="13" s="1"/>
  <c r="AV10" i="13"/>
  <c r="AW10" i="13" s="1"/>
  <c r="F243" i="1"/>
  <c r="D12" i="9"/>
  <c r="AP12" i="9" s="1"/>
  <c r="D13" i="9"/>
  <c r="AP13" i="9" s="1"/>
  <c r="D14" i="9"/>
  <c r="AP14" i="9" s="1"/>
  <c r="D15" i="9"/>
  <c r="AP15" i="9" s="1"/>
  <c r="D16" i="9"/>
  <c r="AP16" i="9" s="1"/>
  <c r="D17" i="9"/>
  <c r="AP17" i="9" s="1"/>
  <c r="D18" i="9"/>
  <c r="D19" i="9"/>
  <c r="D20" i="9"/>
  <c r="D21" i="9"/>
  <c r="D22" i="9"/>
  <c r="D23" i="9"/>
  <c r="D24" i="9"/>
  <c r="J3" i="2"/>
  <c r="J4" i="2"/>
  <c r="J5" i="2"/>
  <c r="J6" i="2"/>
  <c r="J7" i="2"/>
  <c r="J8" i="2"/>
  <c r="J9" i="2"/>
  <c r="J10" i="2"/>
  <c r="J11" i="2"/>
  <c r="J12" i="2"/>
  <c r="J13" i="2"/>
  <c r="J14" i="2"/>
  <c r="J2" i="2"/>
  <c r="BF24" i="9" l="1"/>
  <c r="AP24" i="9"/>
  <c r="BF19" i="9"/>
  <c r="BH19" i="9" s="1"/>
  <c r="AP19" i="9"/>
  <c r="BF22" i="9"/>
  <c r="AP22" i="9"/>
  <c r="BF20" i="9"/>
  <c r="AP20" i="9"/>
  <c r="BF23" i="9"/>
  <c r="AP23" i="9"/>
  <c r="BF18" i="9"/>
  <c r="BH18" i="9" s="1"/>
  <c r="AP18" i="9"/>
  <c r="X10" i="9"/>
  <c r="AP10" i="9"/>
  <c r="BF21" i="9"/>
  <c r="BH21" i="9" s="1"/>
  <c r="AP21" i="9"/>
  <c r="BF16" i="9"/>
  <c r="BE16" i="9" s="1"/>
  <c r="W16" i="9"/>
  <c r="X16" i="9"/>
  <c r="W12" i="9"/>
  <c r="X12" i="9"/>
  <c r="BF15" i="9"/>
  <c r="BH15" i="9" s="1"/>
  <c r="W15" i="9"/>
  <c r="X15" i="9"/>
  <c r="BF14" i="9"/>
  <c r="BH14" i="9" s="1"/>
  <c r="W14" i="9"/>
  <c r="X14" i="9"/>
  <c r="X17" i="9"/>
  <c r="W17" i="9"/>
  <c r="X13" i="9"/>
  <c r="W13" i="9"/>
  <c r="BH22" i="9"/>
  <c r="BE22" i="9"/>
  <c r="BE18" i="9"/>
  <c r="BF17" i="9"/>
  <c r="BH24" i="9"/>
  <c r="BE24" i="9"/>
  <c r="BH20" i="9"/>
  <c r="BE20" i="9"/>
  <c r="BH16" i="9"/>
  <c r="BE21" i="9"/>
  <c r="BH23" i="9"/>
  <c r="BE23" i="9"/>
  <c r="BE19" i="9"/>
  <c r="M24" i="9"/>
  <c r="E24" i="9"/>
  <c r="M20" i="9"/>
  <c r="E20" i="9"/>
  <c r="M16" i="9"/>
  <c r="E16" i="9"/>
  <c r="M12" i="9"/>
  <c r="E12" i="9"/>
  <c r="E23" i="9"/>
  <c r="M23" i="9"/>
  <c r="E19" i="9"/>
  <c r="M19" i="9"/>
  <c r="M15" i="9"/>
  <c r="E15" i="9"/>
  <c r="L103" i="1" s="1"/>
  <c r="E22" i="9"/>
  <c r="M22" i="9"/>
  <c r="E18" i="9"/>
  <c r="M18" i="9"/>
  <c r="E14" i="9"/>
  <c r="M14" i="9"/>
  <c r="E10" i="9"/>
  <c r="M10" i="9"/>
  <c r="E21" i="9"/>
  <c r="M21" i="9"/>
  <c r="E17" i="9"/>
  <c r="M17" i="9"/>
  <c r="E13" i="9"/>
  <c r="M13" i="9"/>
  <c r="AO19" i="9"/>
  <c r="X19" i="9"/>
  <c r="W19" i="9"/>
  <c r="N19" i="9"/>
  <c r="AK19" i="9"/>
  <c r="AN19" i="9"/>
  <c r="AO23" i="9"/>
  <c r="AN23" i="9"/>
  <c r="X23" i="9"/>
  <c r="W23" i="9"/>
  <c r="N23" i="9"/>
  <c r="AK23" i="9"/>
  <c r="AO15" i="9"/>
  <c r="AN15" i="9"/>
  <c r="N15" i="9"/>
  <c r="AK15" i="9"/>
  <c r="AO22" i="9"/>
  <c r="AN22" i="9"/>
  <c r="X22" i="9"/>
  <c r="W22" i="9"/>
  <c r="N22" i="9"/>
  <c r="AQ22" i="9" s="1"/>
  <c r="AK22" i="9"/>
  <c r="N18" i="9"/>
  <c r="AN18" i="9"/>
  <c r="X18" i="9"/>
  <c r="W18" i="9"/>
  <c r="AK18" i="9"/>
  <c r="AO18" i="9"/>
  <c r="N14" i="9"/>
  <c r="AQ14" i="9" s="1"/>
  <c r="AK14" i="9"/>
  <c r="AO14" i="9"/>
  <c r="AN14" i="9"/>
  <c r="I10" i="9"/>
  <c r="J10" i="9" s="1"/>
  <c r="K10" i="9" s="1"/>
  <c r="AN10" i="9"/>
  <c r="N10" i="9"/>
  <c r="AN21" i="9"/>
  <c r="X21" i="9"/>
  <c r="W21" i="9"/>
  <c r="N21" i="9"/>
  <c r="AO21" i="9"/>
  <c r="AK21" i="9"/>
  <c r="AN17" i="9"/>
  <c r="N17" i="9"/>
  <c r="AK17" i="9"/>
  <c r="AO17" i="9"/>
  <c r="AN13" i="9"/>
  <c r="N13" i="9"/>
  <c r="AO13" i="9"/>
  <c r="AK13" i="9"/>
  <c r="AK24" i="9"/>
  <c r="AN24" i="9"/>
  <c r="X24" i="9"/>
  <c r="W24" i="9"/>
  <c r="N24" i="9"/>
  <c r="AO24" i="9"/>
  <c r="AK20" i="9"/>
  <c r="AO20" i="9"/>
  <c r="AN20" i="9"/>
  <c r="X20" i="9"/>
  <c r="W20" i="9"/>
  <c r="N20" i="9"/>
  <c r="AQ20" i="9" s="1"/>
  <c r="AK16" i="9"/>
  <c r="AN16" i="9"/>
  <c r="N16" i="9"/>
  <c r="AO16" i="9"/>
  <c r="AK12" i="9"/>
  <c r="AO12" i="9"/>
  <c r="AN12" i="9"/>
  <c r="N12" i="9"/>
  <c r="AQ12" i="9" s="1"/>
  <c r="I17" i="9"/>
  <c r="J17" i="9" s="1"/>
  <c r="K17" i="9" s="1"/>
  <c r="H23" i="9"/>
  <c r="I23" i="9"/>
  <c r="J23" i="9" s="1"/>
  <c r="K23" i="9" s="1"/>
  <c r="H19" i="9"/>
  <c r="I19" i="9"/>
  <c r="J19" i="9" s="1"/>
  <c r="K19" i="9" s="1"/>
  <c r="H15" i="9"/>
  <c r="I15" i="9"/>
  <c r="J15" i="9" s="1"/>
  <c r="K15" i="9" s="1"/>
  <c r="H22" i="9"/>
  <c r="I22" i="9"/>
  <c r="J22" i="9" s="1"/>
  <c r="K22" i="9" s="1"/>
  <c r="H18" i="9"/>
  <c r="I18" i="9"/>
  <c r="J18" i="9" s="1"/>
  <c r="K18" i="9" s="1"/>
  <c r="H14" i="9"/>
  <c r="I14" i="9"/>
  <c r="J14" i="9" s="1"/>
  <c r="K14" i="9" s="1"/>
  <c r="H21" i="9"/>
  <c r="I21" i="9"/>
  <c r="J21" i="9" s="1"/>
  <c r="K21" i="9" s="1"/>
  <c r="H13" i="9"/>
  <c r="I13" i="9"/>
  <c r="J13" i="9" s="1"/>
  <c r="K13" i="9" s="1"/>
  <c r="H24" i="9"/>
  <c r="I24" i="9"/>
  <c r="J24" i="9" s="1"/>
  <c r="K24" i="9" s="1"/>
  <c r="H20" i="9"/>
  <c r="I20" i="9"/>
  <c r="J20" i="9" s="1"/>
  <c r="K20" i="9" s="1"/>
  <c r="H16" i="9"/>
  <c r="I16" i="9"/>
  <c r="J16" i="9" s="1"/>
  <c r="K16" i="9" s="1"/>
  <c r="H12" i="9"/>
  <c r="I12" i="9"/>
  <c r="J12" i="9" s="1"/>
  <c r="K12" i="9" s="1"/>
  <c r="H17" i="9"/>
  <c r="G10" i="9"/>
  <c r="M125" i="1" s="1"/>
  <c r="J15" i="2"/>
  <c r="J16" i="2" s="1"/>
  <c r="AQ13" i="9" l="1"/>
  <c r="AQ17" i="9"/>
  <c r="AQ21" i="9"/>
  <c r="AQ10" i="9"/>
  <c r="AR10" i="9" s="1"/>
  <c r="AQ18" i="9"/>
  <c r="AQ15" i="9"/>
  <c r="AR15" i="9" s="1"/>
  <c r="AS15" i="9" s="1"/>
  <c r="AQ23" i="9"/>
  <c r="AR23" i="9" s="1"/>
  <c r="AS23" i="9" s="1"/>
  <c r="AQ16" i="9"/>
  <c r="AQ19" i="9"/>
  <c r="AQ24" i="9"/>
  <c r="BE14" i="9"/>
  <c r="BE15" i="9"/>
  <c r="BH17" i="9"/>
  <c r="BE17" i="9"/>
  <c r="AR22" i="9"/>
  <c r="AS22" i="9" s="1"/>
  <c r="AR14" i="9"/>
  <c r="AS14" i="9" s="1"/>
  <c r="AR21" i="9"/>
  <c r="AS21" i="9" s="1"/>
  <c r="H10" i="9"/>
  <c r="AT23" i="9" l="1"/>
  <c r="AU23" i="9"/>
  <c r="AU21" i="9"/>
  <c r="AT21" i="9"/>
  <c r="AU22" i="9"/>
  <c r="AT22" i="9"/>
  <c r="AU15" i="9"/>
  <c r="AT15" i="9"/>
  <c r="AU14" i="9"/>
  <c r="AT14" i="9"/>
  <c r="AS10" i="9"/>
  <c r="AR16" i="9"/>
  <c r="AS16" i="9" s="1"/>
  <c r="AR19" i="9"/>
  <c r="AS19" i="9" s="1"/>
  <c r="AR12" i="9"/>
  <c r="AS12" i="9" s="1"/>
  <c r="AR17" i="9"/>
  <c r="AS17" i="9" s="1"/>
  <c r="AR18" i="9"/>
  <c r="AS18" i="9" s="1"/>
  <c r="AR13" i="9"/>
  <c r="AS13" i="9" s="1"/>
  <c r="AR24" i="9"/>
  <c r="AS24" i="9" s="1"/>
  <c r="AR20" i="9"/>
  <c r="AS20" i="9" s="1"/>
  <c r="AV15" i="9" l="1"/>
  <c r="AW15" i="9" s="1"/>
  <c r="AV14" i="9"/>
  <c r="AW14" i="9" s="1"/>
  <c r="AV23" i="9"/>
  <c r="AW23" i="9" s="1"/>
  <c r="AV21" i="9"/>
  <c r="AW21" i="9" s="1"/>
  <c r="AV22" i="9"/>
  <c r="AW22" i="9" s="1"/>
  <c r="AU18" i="9"/>
  <c r="AT18" i="9"/>
  <c r="AU20" i="9"/>
  <c r="AT20" i="9"/>
  <c r="AU24" i="9"/>
  <c r="AT24" i="9"/>
  <c r="AT19" i="9"/>
  <c r="AU19" i="9"/>
  <c r="AT16" i="9"/>
  <c r="AU16" i="9"/>
  <c r="AU17" i="9"/>
  <c r="AT17" i="9"/>
  <c r="AT12" i="9"/>
  <c r="AU12" i="9"/>
  <c r="AU13" i="9"/>
  <c r="AT13" i="9"/>
  <c r="AU10" i="9"/>
  <c r="AT10" i="9"/>
  <c r="AV16" i="9" l="1"/>
  <c r="AW16" i="9" s="1"/>
  <c r="AV10" i="9"/>
  <c r="AW10" i="9" s="1"/>
  <c r="AV24" i="9"/>
  <c r="AW24" i="9" s="1"/>
  <c r="AV19" i="9"/>
  <c r="AW19" i="9" s="1"/>
  <c r="AV13" i="9"/>
  <c r="AW13" i="9" s="1"/>
  <c r="AV18" i="9"/>
  <c r="AW18" i="9" s="1"/>
  <c r="AV20" i="9"/>
  <c r="AW20" i="9" s="1"/>
  <c r="AV12" i="9"/>
  <c r="AW12" i="9" s="1"/>
  <c r="AV17" i="9"/>
  <c r="AW17" i="9" s="1"/>
  <c r="J5" i="1" l="1"/>
  <c r="D154" i="1"/>
  <c r="D156" i="1" s="1"/>
  <c r="K14" i="2"/>
  <c r="L14" i="2" s="1"/>
  <c r="K13" i="2"/>
  <c r="L13" i="2" s="1"/>
  <c r="K12" i="2"/>
  <c r="L12" i="2" s="1"/>
  <c r="K11" i="2"/>
  <c r="L11" i="2" s="1"/>
  <c r="K10" i="2"/>
  <c r="L10" i="2" s="1"/>
  <c r="K8" i="2"/>
  <c r="L8" i="2" s="1"/>
  <c r="K6" i="2"/>
  <c r="L6" i="2" s="1"/>
  <c r="K4" i="2"/>
  <c r="L4" i="2" s="1"/>
  <c r="K9" i="2"/>
  <c r="L9" i="2" s="1"/>
  <c r="K7" i="2"/>
  <c r="L7" i="2" s="1"/>
  <c r="K5" i="2"/>
  <c r="L5" i="2" s="1"/>
  <c r="K3" i="2"/>
  <c r="L3" i="2" s="1"/>
  <c r="K2" i="2"/>
  <c r="L2" i="2" s="1"/>
  <c r="E103" i="1"/>
  <c r="H45" i="1"/>
  <c r="S8" i="2"/>
  <c r="R8" i="2"/>
  <c r="S7" i="2"/>
  <c r="R7" i="2"/>
  <c r="S6" i="2"/>
  <c r="R6" i="2"/>
  <c r="S5" i="2"/>
  <c r="R5" i="2"/>
  <c r="S4" i="2"/>
  <c r="R4" i="2"/>
  <c r="S3" i="2"/>
  <c r="R3" i="2"/>
  <c r="S2" i="2"/>
  <c r="R2" i="2"/>
  <c r="I109" i="1" l="1"/>
  <c r="I113" i="1"/>
  <c r="I115" i="1"/>
  <c r="L15" i="2"/>
  <c r="K15" i="2"/>
  <c r="I111" i="1" l="1"/>
  <c r="D158" i="1"/>
  <c r="H156" i="1"/>
  <c r="H158" i="1"/>
  <c r="E10" i="14" l="1"/>
  <c r="H10" i="14"/>
  <c r="E12" i="14"/>
  <c r="H12" i="14"/>
  <c r="E14" i="14"/>
  <c r="H14" i="14"/>
  <c r="E15" i="14"/>
  <c r="H15" i="14"/>
  <c r="E16" i="14"/>
  <c r="H16" i="14"/>
  <c r="E17" i="14"/>
  <c r="H17" i="14"/>
  <c r="E18" i="14"/>
  <c r="H18" i="14"/>
  <c r="E19" i="14"/>
  <c r="H19" i="14"/>
  <c r="E13" i="14"/>
  <c r="H13" i="14"/>
  <c r="E11" i="14"/>
  <c r="H11" i="14"/>
  <c r="M103" i="1" l="1"/>
  <c r="G103" i="1"/>
  <c r="I103" i="1" s="1"/>
  <c r="I107" i="1" s="1"/>
  <c r="I119" i="1" s="1"/>
  <c r="I123" i="1" l="1"/>
  <c r="I121" i="1"/>
  <c r="I128" i="1"/>
</calcChain>
</file>

<file path=xl/sharedStrings.xml><?xml version="1.0" encoding="utf-8"?>
<sst xmlns="http://schemas.openxmlformats.org/spreadsheetml/2006/main" count="953" uniqueCount="379">
  <si>
    <t>GSTIN : 24AAPFH9566D1Z1</t>
  </si>
  <si>
    <r>
      <rPr>
        <b/>
        <sz val="22"/>
        <color theme="8"/>
        <rFont val="Bookman Old Style"/>
        <family val="1"/>
      </rPr>
      <t>HI - TECH</t>
    </r>
    <r>
      <rPr>
        <b/>
        <sz val="22"/>
        <color theme="1"/>
        <rFont val="Bookman Old Style"/>
        <family val="1"/>
      </rPr>
      <t xml:space="preserve">
</t>
    </r>
    <r>
      <rPr>
        <b/>
        <sz val="22"/>
        <color theme="5"/>
        <rFont val="Bookman Old Style"/>
        <family val="1"/>
      </rPr>
      <t>SOLAR SOLUTION</t>
    </r>
    <r>
      <rPr>
        <b/>
        <sz val="28"/>
        <color theme="1"/>
        <rFont val="Bookman Old Style"/>
        <family val="1"/>
      </rPr>
      <t xml:space="preserve">
</t>
    </r>
    <r>
      <rPr>
        <b/>
        <sz val="9"/>
        <color theme="1"/>
        <rFont val="Book Antiqua"/>
        <family val="1"/>
      </rPr>
      <t>Solutions You Can Trust.</t>
    </r>
  </si>
  <si>
    <t>Customer Information</t>
  </si>
  <si>
    <t>Meter Phase :</t>
  </si>
  <si>
    <t>Contact Number :</t>
  </si>
  <si>
    <t>Name :</t>
  </si>
  <si>
    <t>Adrees :</t>
  </si>
  <si>
    <t>Consumer Num :</t>
  </si>
  <si>
    <t>Discom :</t>
  </si>
  <si>
    <t>Description of Services:</t>
  </si>
  <si>
    <t>We propose to provide the following services for the installation of a solar plant:</t>
  </si>
  <si>
    <r>
      <rPr>
        <b/>
        <sz val="11"/>
        <color theme="1"/>
        <rFont val="Times New Roman"/>
        <family val="1"/>
      </rPr>
      <t>Design and Engineering:</t>
    </r>
    <r>
      <rPr>
        <sz val="11"/>
        <color theme="1"/>
        <rFont val="Times New Roman"/>
        <family val="1"/>
      </rPr>
      <t xml:space="preserve"> Our team of experts will design a customized solar plant tailored to your energy needs and site specifications.
</t>
    </r>
    <r>
      <rPr>
        <b/>
        <sz val="11"/>
        <color theme="1"/>
        <rFont val="Times New Roman"/>
        <family val="1"/>
      </rPr>
      <t xml:space="preserve">Procurement of Materials: </t>
    </r>
    <r>
      <rPr>
        <sz val="11"/>
        <color theme="1"/>
        <rFont val="Times New Roman"/>
        <family val="1"/>
      </rPr>
      <t xml:space="preserve">We will procure high-quality solar panels, inverters, mounting structures, and other necessary components from reputable manufacturers.
</t>
    </r>
    <r>
      <rPr>
        <b/>
        <sz val="11"/>
        <color theme="1"/>
        <rFont val="Times New Roman"/>
        <family val="1"/>
      </rPr>
      <t xml:space="preserve">Installation: </t>
    </r>
    <r>
      <rPr>
        <sz val="11"/>
        <color theme="1"/>
        <rFont val="Times New Roman"/>
        <family val="1"/>
      </rPr>
      <t xml:space="preserve">Our skilled technicians will carry out the installation of the solar panels, inverters, and associated equipment with precision and efficiency.
</t>
    </r>
    <r>
      <rPr>
        <b/>
        <sz val="11"/>
        <color theme="1"/>
        <rFont val="Times New Roman"/>
        <family val="1"/>
      </rPr>
      <t xml:space="preserve">Testing and Commissioning: </t>
    </r>
    <r>
      <rPr>
        <sz val="11"/>
        <color theme="1"/>
        <rFont val="Times New Roman"/>
        <family val="1"/>
      </rPr>
      <t xml:space="preserve">We will conduct rigorous testing procedures to ensure the proper functioning of the solar plant before commissioning it for regular operation.
</t>
    </r>
    <r>
      <rPr>
        <b/>
        <sz val="11"/>
        <color theme="1"/>
        <rFont val="Times New Roman"/>
        <family val="1"/>
      </rPr>
      <t xml:space="preserve">Training and Support: </t>
    </r>
    <r>
      <rPr>
        <sz val="11"/>
        <color theme="1"/>
        <rFont val="Times New Roman"/>
        <family val="1"/>
      </rPr>
      <t>We will provide training sessions for your staff on the operation and maintenance of the solar plant. Additionally, we offer ongoing technical support and maintenance services.</t>
    </r>
  </si>
  <si>
    <t xml:space="preserve">Type of Solar Plant: </t>
  </si>
  <si>
    <t>Location:</t>
  </si>
  <si>
    <t>Project Details:</t>
  </si>
  <si>
    <t>Proposed Solution:</t>
  </si>
  <si>
    <t>Available Roof Space:</t>
  </si>
  <si>
    <t>Desired System Size:</t>
  </si>
  <si>
    <t>System Orientation:</t>
  </si>
  <si>
    <t>Type of Solar Panels:</t>
  </si>
  <si>
    <t>Inverter Type:</t>
  </si>
  <si>
    <t>Unit Consumption:</t>
  </si>
  <si>
    <t>A Billing of Quantities</t>
  </si>
  <si>
    <t>Sr No</t>
  </si>
  <si>
    <t>Item Name</t>
  </si>
  <si>
    <t>Make</t>
  </si>
  <si>
    <t>Description</t>
  </si>
  <si>
    <t>Unit</t>
  </si>
  <si>
    <t>Quantity</t>
  </si>
  <si>
    <t>Solar Module</t>
  </si>
  <si>
    <t>Nos</t>
  </si>
  <si>
    <t>ACDB/DCDB Box</t>
  </si>
  <si>
    <t>MNRE/Indian Electrical Standard complied</t>
  </si>
  <si>
    <t>Set</t>
  </si>
  <si>
    <t xml:space="preserve">Lighting Arrestor and Earthing Set </t>
  </si>
  <si>
    <t>Reputed Brand</t>
  </si>
  <si>
    <t>Module Mounting Structure</t>
  </si>
  <si>
    <t xml:space="preserve">Hot Dip Galvanized with appropriate analysis for Load/Wind speed </t>
  </si>
  <si>
    <t xml:space="preserve">Civil Works </t>
  </si>
  <si>
    <t>Foundation Block</t>
  </si>
  <si>
    <t xml:space="preserve">Installation and Commissioning </t>
  </si>
  <si>
    <t>Hi – Tech Solar Solution Scope</t>
  </si>
  <si>
    <t>Required Area:</t>
  </si>
  <si>
    <t>Required Structure Hight</t>
  </si>
  <si>
    <t>System Type :</t>
  </si>
  <si>
    <t>System Size:</t>
  </si>
  <si>
    <t>Solar RoofTop System Pricing</t>
  </si>
  <si>
    <t>Amount</t>
  </si>
  <si>
    <t>Price / Unit</t>
  </si>
  <si>
    <t>KW</t>
  </si>
  <si>
    <t>Basic System Cost</t>
  </si>
  <si>
    <t>Transportation Cost</t>
  </si>
  <si>
    <t>Extra Cabaling Cost</t>
  </si>
  <si>
    <t xml:space="preserve">GRAND TOTAL </t>
  </si>
  <si>
    <t>Effective Plant Cost after getting Subsidy</t>
  </si>
  <si>
    <t>Banking Detail</t>
  </si>
  <si>
    <t>Required Documents</t>
  </si>
  <si>
    <t>Branch:</t>
  </si>
  <si>
    <t>IFSC Code:</t>
  </si>
  <si>
    <t>A/C Type:</t>
  </si>
  <si>
    <t>A/C Number:</t>
  </si>
  <si>
    <t>A/C Name:</t>
  </si>
  <si>
    <t>Bank Name:</t>
  </si>
  <si>
    <t>AU SMALL FINANCE BANK</t>
  </si>
  <si>
    <t>HI TECH SOLAR SOLUTION</t>
  </si>
  <si>
    <t>1107865152531445</t>
  </si>
  <si>
    <t>CURRENT ACCOUNT</t>
  </si>
  <si>
    <t>AUBL0002158</t>
  </si>
  <si>
    <t>DAHOD</t>
  </si>
  <si>
    <t>1) Latest Electricity Bill</t>
  </si>
  <si>
    <t>2) House Tax Receipt or any house ownership proof</t>
  </si>
  <si>
    <t>3) Aadhar Card</t>
  </si>
  <si>
    <t>5) Cancelled Cheque / Bank Pass Book</t>
  </si>
  <si>
    <t>6) Passport size photo</t>
  </si>
  <si>
    <t>TEARMS AND CONDITIONS</t>
  </si>
  <si>
    <t>REMARKS :</t>
  </si>
  <si>
    <t>Plant capacity may vary due to Solar Panel Size avilibility. Final billing amount varry accordingly.</t>
  </si>
  <si>
    <t>We will repair or, if found necessary replace a defective component of solar system for failure due to manufacturing defects &amp; The repaired/replaced part or Solar system does not carry a new warranty</t>
  </si>
  <si>
    <t>Upon verification of a valid warranty claim,Hi tech Solar Solution will repair or replace the defective components within a reasonable time frame.
If repair or replacement is not feasible, Hi tech Solar Solution reserves the right to provide an alternative solution</t>
  </si>
  <si>
    <r>
      <rPr>
        <b/>
        <sz val="11"/>
        <color theme="1"/>
        <rFont val="Times New Roman"/>
        <family val="1"/>
      </rPr>
      <t>Warranty:
Hi tech solar solution</t>
    </r>
    <r>
      <rPr>
        <sz val="11"/>
        <color theme="1"/>
        <rFont val="Times New Roman"/>
        <family val="1"/>
      </rPr>
      <t xml:space="preserve"> warrants the installation workmanship for a period of 5 years from the date of commissioning.
Solar panels,Inverter,MCB,Fuse &amp; cartridges and other equipment are subject to manufacturer warranties, details of which will be provided upon installation.</t>
    </r>
  </si>
  <si>
    <r>
      <rPr>
        <b/>
        <sz val="11"/>
        <color theme="1"/>
        <rFont val="Times New Roman"/>
        <family val="1"/>
      </rPr>
      <t>Maintenance and Service:</t>
    </r>
    <r>
      <rPr>
        <sz val="11"/>
        <color theme="1"/>
        <rFont val="Times New Roman"/>
        <family val="1"/>
      </rPr>
      <t xml:space="preserve">
Hi Tech solar Solution offers optional maintenance and service plans beyond the warranty period. Details of these plans can be provided upon request.</t>
    </r>
  </si>
  <si>
    <r>
      <rPr>
        <b/>
        <sz val="11"/>
        <color theme="1"/>
        <rFont val="Times New Roman"/>
        <family val="1"/>
      </rPr>
      <t>Site Access:</t>
    </r>
    <r>
      <rPr>
        <sz val="11"/>
        <color theme="1"/>
        <rFont val="Times New Roman"/>
        <family val="1"/>
      </rPr>
      <t xml:space="preserve">
The client shall provide unimpeded access to the installation site during agreed-upon times for the duration of the project.</t>
    </r>
  </si>
  <si>
    <r>
      <rPr>
        <b/>
        <sz val="11"/>
        <color theme="1"/>
        <rFont val="Times New Roman"/>
        <family val="1"/>
      </rPr>
      <t>Permits and Approvals:</t>
    </r>
    <r>
      <rPr>
        <sz val="11"/>
        <color theme="1"/>
        <rFont val="Times New Roman"/>
        <family val="1"/>
      </rPr>
      <t xml:space="preserve">
It is the responsibility of the client to obtain any necessary permits, approvals, or licenses required for the installation of the solar plant.</t>
    </r>
  </si>
  <si>
    <r>
      <rPr>
        <b/>
        <sz val="11"/>
        <color theme="1"/>
        <rFont val="Times New Roman"/>
        <family val="1"/>
      </rPr>
      <t>Liability:</t>
    </r>
    <r>
      <rPr>
        <sz val="11"/>
        <color theme="1"/>
        <rFont val="Times New Roman"/>
        <family val="1"/>
      </rPr>
      <t xml:space="preserve">
Hi Tech Solar Solution shall not be liable for any damages or losses resulting from acts of nature, accidents, or misuse of the solar plant after installation.</t>
    </r>
  </si>
  <si>
    <r>
      <rPr>
        <b/>
        <sz val="11"/>
        <color theme="1"/>
        <rFont val="Times New Roman"/>
        <family val="1"/>
      </rPr>
      <t>Changes and Modifications:</t>
    </r>
    <r>
      <rPr>
        <sz val="11"/>
        <color theme="1"/>
        <rFont val="Times New Roman"/>
        <family val="1"/>
      </rPr>
      <t xml:space="preserve">
Any changes or modifications to the project scope must be agreed upon in writing by both parties and may result in adjustments to the project timeline and cost.</t>
    </r>
  </si>
  <si>
    <r>
      <t xml:space="preserve">Cable length:
</t>
    </r>
    <r>
      <rPr>
        <sz val="11"/>
        <color theme="1"/>
        <rFont val="Times New Roman"/>
        <family val="1"/>
      </rPr>
      <t>Described cable length in BOQ is included in standard plant rate.
length more than from described BOQ will be charged extra as per Actual.</t>
    </r>
  </si>
  <si>
    <r>
      <rPr>
        <b/>
        <sz val="11"/>
        <color theme="1"/>
        <rFont val="Times New Roman"/>
        <family val="1"/>
      </rPr>
      <t>Exclusions:</t>
    </r>
    <r>
      <rPr>
        <sz val="11"/>
        <color theme="1"/>
        <rFont val="Times New Roman"/>
        <family val="1"/>
      </rPr>
      <t xml:space="preserve">
The warranty does not cover damage caused by acts of nature, accidents, misuse, or unauthorized modifications to the solar plant.
Damage resulting from improper installation, maintenance, or servicing by parties other than Hi Tech Solar Solution is not covered under this warranty.</t>
    </r>
  </si>
  <si>
    <t>4) Pan  Card</t>
  </si>
  <si>
    <t>System generation &amp; Revenue Details</t>
  </si>
  <si>
    <t>Solar Roof Top Size:</t>
  </si>
  <si>
    <t>Yearly Saving :</t>
  </si>
  <si>
    <t>1st Year Generation :</t>
  </si>
  <si>
    <t>25 Year Saving :</t>
  </si>
  <si>
    <t>Note</t>
  </si>
  <si>
    <t>Pridicted Generation is Indicative only. It may vary depending upon weather condition. 
Savings Calculated @ INR 8/Unit</t>
  </si>
  <si>
    <t>We agree to above details:</t>
  </si>
  <si>
    <t>No of Module</t>
  </si>
  <si>
    <t>Module Wattage</t>
  </si>
  <si>
    <t>Discover Rate</t>
  </si>
  <si>
    <t>Structure Hight</t>
  </si>
  <si>
    <t xml:space="preserve">Area </t>
  </si>
  <si>
    <t>Meter Phase</t>
  </si>
  <si>
    <t>Cost</t>
  </si>
  <si>
    <t>Module</t>
  </si>
  <si>
    <t>Month</t>
  </si>
  <si>
    <t>Unit/Day</t>
  </si>
  <si>
    <t>Kwh</t>
  </si>
  <si>
    <t>INR</t>
  </si>
  <si>
    <t xml:space="preserve">Module Wattage </t>
  </si>
  <si>
    <t>No Of Modules</t>
  </si>
  <si>
    <t>Capacity</t>
  </si>
  <si>
    <t>Module Cost</t>
  </si>
  <si>
    <t>Off Grid Inverter Price</t>
  </si>
  <si>
    <t>Hybrid Inverter Price</t>
  </si>
  <si>
    <t>1 - 3</t>
  </si>
  <si>
    <t>Urban</t>
  </si>
  <si>
    <t>Single Phase</t>
  </si>
  <si>
    <t>Adani-530Wp(Bi-Facial)</t>
  </si>
  <si>
    <t>Jan</t>
  </si>
  <si>
    <t>Adani-540Wp(Bi-Facial)</t>
  </si>
  <si>
    <t>Rural</t>
  </si>
  <si>
    <t>Three Phase</t>
  </si>
  <si>
    <t>Fab</t>
  </si>
  <si>
    <t>Kwp</t>
  </si>
  <si>
    <t>March</t>
  </si>
  <si>
    <t>Kw</t>
  </si>
  <si>
    <t>April</t>
  </si>
  <si>
    <t>Sqft</t>
  </si>
  <si>
    <t>May</t>
  </si>
  <si>
    <t>Feet</t>
  </si>
  <si>
    <t>Jun</t>
  </si>
  <si>
    <t>Degree</t>
  </si>
  <si>
    <t>July</t>
  </si>
  <si>
    <t>Aug</t>
  </si>
  <si>
    <t>Sep</t>
  </si>
  <si>
    <t>Oct</t>
  </si>
  <si>
    <t>Nov</t>
  </si>
  <si>
    <t>Dec</t>
  </si>
  <si>
    <t>4-6</t>
  </si>
  <si>
    <t>6-8</t>
  </si>
  <si>
    <t>8-10</t>
  </si>
  <si>
    <t>10-12</t>
  </si>
  <si>
    <t>12-14</t>
  </si>
  <si>
    <t>DISCOM</t>
  </si>
  <si>
    <t>MGVCL</t>
  </si>
  <si>
    <t>UGVCL</t>
  </si>
  <si>
    <t>PGVCL</t>
  </si>
  <si>
    <t>DGVCL</t>
  </si>
  <si>
    <t>TORRENT</t>
  </si>
  <si>
    <t>ON GRID</t>
  </si>
  <si>
    <t>OFF GRID</t>
  </si>
  <si>
    <t>HYBRID</t>
  </si>
  <si>
    <t>kw</t>
  </si>
  <si>
    <t>kw Inverter</t>
  </si>
  <si>
    <t>SET</t>
  </si>
  <si>
    <t>Rupees</t>
  </si>
  <si>
    <t>Generation / Day :</t>
  </si>
  <si>
    <t>Date:</t>
  </si>
  <si>
    <t>Inverter</t>
  </si>
  <si>
    <t>ACDB</t>
  </si>
  <si>
    <t>DCDB</t>
  </si>
  <si>
    <t>GRAND TOTAL</t>
  </si>
  <si>
    <t>Roof Top</t>
  </si>
  <si>
    <t>Any charge of the solar meter will have to be paid by the consumer himself. Solar meter chargers are not included in this quotation.</t>
  </si>
  <si>
    <t>*Payment After installation</t>
  </si>
  <si>
    <t>/Month</t>
  </si>
  <si>
    <t>Consumer No :</t>
  </si>
  <si>
    <t>Electrical Item BOQ</t>
  </si>
  <si>
    <t>COMPONENT</t>
  </si>
  <si>
    <t>UPTO 4 KW</t>
  </si>
  <si>
    <t>4.01 TO 5.99 KW</t>
  </si>
  <si>
    <t>6 KW TO 9.9 KW</t>
  </si>
  <si>
    <t>10 MTR</t>
  </si>
  <si>
    <t>21 MTR</t>
  </si>
  <si>
    <t>50 MTR</t>
  </si>
  <si>
    <t>20 MTR</t>
  </si>
  <si>
    <t>40 MTR</t>
  </si>
  <si>
    <t>60 MTR</t>
  </si>
  <si>
    <t>CONDUIT PIPE</t>
  </si>
  <si>
    <t>20 NOS</t>
  </si>
  <si>
    <t>ELBOW</t>
  </si>
  <si>
    <t>TEE</t>
  </si>
  <si>
    <t>5 NOS</t>
  </si>
  <si>
    <t>OFFICE - 2nd Floor Gujarat Light, Nr Mahila Police Station, Godhra Road, Dahod - 389151</t>
  </si>
  <si>
    <t xml:space="preserve">Mono Bi-Facial </t>
  </si>
  <si>
    <t>TOPCON BI-FACIAL</t>
  </si>
  <si>
    <t>SR NO</t>
  </si>
  <si>
    <t>Basic Plant Cost
(-subsidy rate)</t>
  </si>
  <si>
    <t>DC Capacity
(kw)</t>
  </si>
  <si>
    <t>HI - TECH SOLAR SOLUTION</t>
  </si>
  <si>
    <t>High-rise Structure Cost</t>
  </si>
  <si>
    <t>Solar Net Meter Charges &amp; PPA Charges</t>
  </si>
  <si>
    <t>BANK DETAILS</t>
  </si>
  <si>
    <t>Adani-565/570/575 Wp(Topcon-Bi facial)</t>
  </si>
  <si>
    <t>*Payment received Befor installation</t>
  </si>
  <si>
    <t>NOS</t>
  </si>
  <si>
    <t>SUNGROW</t>
  </si>
  <si>
    <t>AVG</t>
  </si>
  <si>
    <t>Subsidy</t>
  </si>
  <si>
    <t>Adani-540/545/550 Wp(Bi-Facial)</t>
  </si>
  <si>
    <t>sqft</t>
  </si>
  <si>
    <t>8 Years warranty From Company</t>
  </si>
  <si>
    <t>Unit Generation / Day</t>
  </si>
  <si>
    <t>2 Months Generation
(Unit)</t>
  </si>
  <si>
    <t>2 Months Saving
(INR)</t>
  </si>
  <si>
    <t>1C X 2.5 SQMM CU.FLEX CABLE (DC)</t>
  </si>
  <si>
    <t>2C X 2.5 SQMM CU.FLEX CABLE (AC)</t>
  </si>
  <si>
    <t>1C X 2.5 SQMM CU.FLEX CABLE (EARTHING)</t>
  </si>
  <si>
    <t>1C X 16 SQMM AL.FLEX CABLE (LA)</t>
  </si>
  <si>
    <t>20 MM PVC PIPE WITH SADDLE</t>
  </si>
  <si>
    <t>20 MM ELBO</t>
  </si>
  <si>
    <t>20 MM TEE</t>
  </si>
  <si>
    <t>70 MTR</t>
  </si>
  <si>
    <t>15 NOS</t>
  </si>
  <si>
    <t>2C X 4 SQMM CU.FLEX CABLE (AC)</t>
  </si>
  <si>
    <t>1C X 4 SQMM CU.FLEX CABLE (DC)</t>
  </si>
  <si>
    <t>1C X 4 SQMM CU.FLEX CABLE (EARTHING)</t>
  </si>
  <si>
    <t>25 MM PVC PIPE WITH SADDLE</t>
  </si>
  <si>
    <t>25 MM ELBO</t>
  </si>
  <si>
    <t>25 MM TEE</t>
  </si>
  <si>
    <t>3C X 4 SQMM CU.FLEX CABLE (AC)</t>
  </si>
  <si>
    <t>15 MTR</t>
  </si>
  <si>
    <t>7 NOS</t>
  </si>
  <si>
    <t>Type of Solar Panels</t>
  </si>
  <si>
    <t>Structure BOQ</t>
  </si>
  <si>
    <t>Address:</t>
  </si>
  <si>
    <t>Contact No:</t>
  </si>
  <si>
    <t>Bank Name :</t>
  </si>
  <si>
    <t>A/C Name :</t>
  </si>
  <si>
    <t>A/C Type :</t>
  </si>
  <si>
    <t>IFSC Code :</t>
  </si>
  <si>
    <t>Branch :</t>
  </si>
  <si>
    <t>A/C Number :</t>
  </si>
  <si>
    <t>ELECTRICITY BILL</t>
  </si>
  <si>
    <t>AADHAR CARD</t>
  </si>
  <si>
    <t>PAN CARD</t>
  </si>
  <si>
    <t>ITEM AND ITS MAKE</t>
  </si>
  <si>
    <t>SOLAR MODULE</t>
  </si>
  <si>
    <t>SOLAR INVERTER</t>
  </si>
  <si>
    <t>ACDB &amp; DCDB</t>
  </si>
  <si>
    <t>WIRES AND CABLES</t>
  </si>
  <si>
    <t>ADANI / VIKRAM / WAAREE</t>
  </si>
  <si>
    <t>MCB :-Schneider &amp; SPD :-Finder</t>
  </si>
  <si>
    <t>APAAR / POLYCAB</t>
  </si>
  <si>
    <t>60 MICRONES HDPGI</t>
  </si>
  <si>
    <t>EARTHING &amp; LA</t>
  </si>
  <si>
    <t>COPPER BOUNDED</t>
  </si>
  <si>
    <r>
      <rPr>
        <b/>
        <sz val="11"/>
        <color theme="1"/>
        <rFont val="Calibri"/>
        <family val="2"/>
        <scheme val="minor"/>
      </rPr>
      <t>Warranty:</t>
    </r>
    <r>
      <rPr>
        <sz val="11"/>
        <color theme="1"/>
        <rFont val="Calibri"/>
        <family val="2"/>
        <scheme val="minor"/>
      </rPr>
      <t xml:space="preserve">
Hi tech solar solution warrants the installation workmanship for a period of 5 years from the date of commissioning.
Solar panels,Inverter,MCB,Fuse &amp; cartridges and other equipment are subject to manufacturer warranties, details of which will be provided upon installation.</t>
    </r>
  </si>
  <si>
    <r>
      <rPr>
        <b/>
        <sz val="11"/>
        <rFont val="Calibri"/>
        <family val="2"/>
        <scheme val="minor"/>
      </rPr>
      <t>Changes and Modifications:</t>
    </r>
    <r>
      <rPr>
        <sz val="11"/>
        <rFont val="Calibri"/>
        <family val="2"/>
        <scheme val="minor"/>
      </rPr>
      <t xml:space="preserve">
Any changes or modifications to the project scope must be agreed upon in writing by both parties and may result in adjustments to the project timeline and cost.</t>
    </r>
  </si>
  <si>
    <r>
      <rPr>
        <b/>
        <sz val="12"/>
        <rFont val="Calibri"/>
        <family val="2"/>
        <scheme val="minor"/>
      </rPr>
      <t>Exclusions:</t>
    </r>
    <r>
      <rPr>
        <sz val="12"/>
        <rFont val="Calibri"/>
        <family val="2"/>
        <scheme val="minor"/>
      </rPr>
      <t xml:space="preserve">
The warranty does not cover damage caused by acts of nature, accidents, misuse, or unauthorized modifications to the solar plant.
Damage resulting from improper installation, maintenance, or servicing by parties other than Hi Tech Solar Solution is not covered under this warranty.</t>
    </r>
  </si>
  <si>
    <r>
      <rPr>
        <b/>
        <sz val="12"/>
        <rFont val="Calibri"/>
        <family val="2"/>
        <scheme val="minor"/>
      </rPr>
      <t>Liability:</t>
    </r>
    <r>
      <rPr>
        <sz val="12"/>
        <rFont val="Calibri"/>
        <family val="2"/>
        <scheme val="minor"/>
      </rPr>
      <t xml:space="preserve">
Hi Tech Solar Solution shall not be liable for any damages or losses resulting from acts of nature, accidents, or misuse of the solar plant after installation.</t>
    </r>
  </si>
  <si>
    <t>2 kw to 4.5 kw</t>
  </si>
  <si>
    <t>5 kw to 6 kw</t>
  </si>
  <si>
    <t>6 kw to 10 kw</t>
  </si>
  <si>
    <t>Quotation Validity: The quotation provided is valid for a period of 10 days from the date of issuance. Prices are subject to change after this period.</t>
  </si>
  <si>
    <r>
      <rPr>
        <b/>
        <sz val="11"/>
        <color theme="1"/>
        <rFont val="Times New Roman"/>
        <family val="1"/>
      </rPr>
      <t>Quotation Validity</t>
    </r>
    <r>
      <rPr>
        <sz val="11"/>
        <color theme="1"/>
        <rFont val="Times New Roman"/>
        <family val="1"/>
      </rPr>
      <t xml:space="preserve">: The quotation provided is </t>
    </r>
    <r>
      <rPr>
        <sz val="11"/>
        <color rgb="FFFF0000"/>
        <rFont val="Times New Roman"/>
        <family val="1"/>
      </rPr>
      <t>valid for a period of 10 days from the date of issuance</t>
    </r>
    <r>
      <rPr>
        <sz val="11"/>
        <color theme="1"/>
        <rFont val="Times New Roman"/>
        <family val="1"/>
      </rPr>
      <t>. Prices are subject to change after this period.</t>
    </r>
  </si>
  <si>
    <t>Quotation / Price List For Residential RTS System Under PM : Surya Ghar Muft Bijli Yojna</t>
  </si>
  <si>
    <t>No of HDPGI Pipe Incluid
Size(60 x 40) &amp; (40 x 40)</t>
  </si>
  <si>
    <t>Item</t>
  </si>
  <si>
    <r>
      <rPr>
        <sz val="11"/>
        <color theme="1"/>
        <rFont val="Times New Roman"/>
        <family val="1"/>
      </rPr>
      <t xml:space="preserve">PM- SURYA GHAR: MUFT BIJLI YOJNA </t>
    </r>
    <r>
      <rPr>
        <sz val="11"/>
        <color rgb="FFFF0000"/>
        <rFont val="Times New Roman"/>
        <family val="1"/>
      </rPr>
      <t xml:space="preserve">SUBSIDY
</t>
    </r>
    <r>
      <rPr>
        <sz val="10"/>
        <color rgb="FFFF0000"/>
        <rFont val="Times New Roman"/>
        <family val="1"/>
      </rPr>
      <t xml:space="preserve">Subsidy Amount is subject to PM- SURYA GHAR: MUFT BIJLI YOJNA . </t>
    </r>
    <r>
      <rPr>
        <sz val="9"/>
        <color rgb="FFFF0000"/>
        <rFont val="Times New Roman"/>
        <family val="1"/>
      </rPr>
      <t>HI-TECH SOLAR SOLUTION IS NOT RESPONSIBLE FOR ANY KIND OF CHANGES / DELAYS AND DEDUCTION IN SUBSIDY RATE.</t>
    </r>
  </si>
  <si>
    <t>Subsidy Amount is subject to PM- SURYA GHAR: MUFT BIJLI YOJNA . HI-TECH SOLAR SOLUTION IS NOT RESPONSIBLE FOR ANY KIND OF CHANGES / DELAYS AND DEDUCTION IN SUBSIDY RATE.</t>
  </si>
  <si>
    <t>home</t>
  </si>
  <si>
    <t>FT/KW</t>
  </si>
  <si>
    <r>
      <rPr>
        <sz val="11"/>
        <color rgb="FFFF0000"/>
        <rFont val="Calibri"/>
        <family val="2"/>
        <scheme val="minor"/>
      </rPr>
      <t>6 to 8 feet hight Structure is included in standard plant rate</t>
    </r>
    <r>
      <rPr>
        <sz val="11"/>
        <color theme="1"/>
        <rFont val="Calibri"/>
        <family val="2"/>
        <scheme val="minor"/>
      </rPr>
      <t>. If Structure Hight more than from described BOQ will be charged</t>
    </r>
    <r>
      <rPr>
        <b/>
        <sz val="11"/>
        <color theme="1"/>
        <rFont val="Calibri"/>
        <family val="2"/>
        <scheme val="minor"/>
      </rPr>
      <t xml:space="preserve"> 500RS/FEET/KW</t>
    </r>
    <r>
      <rPr>
        <sz val="11"/>
        <color theme="1"/>
        <rFont val="Calibri"/>
        <family val="2"/>
        <scheme val="minor"/>
      </rPr>
      <t xml:space="preserve"> As per Actual</t>
    </r>
  </si>
  <si>
    <r>
      <rPr>
        <sz val="11"/>
        <color rgb="FFFF0000"/>
        <rFont val="Calibri"/>
        <family val="2"/>
        <scheme val="minor"/>
      </rPr>
      <t>6 to 8 feet hight Structure is included in standard plant rate</t>
    </r>
    <r>
      <rPr>
        <sz val="11"/>
        <color theme="1"/>
        <rFont val="Calibri"/>
        <family val="2"/>
        <scheme val="minor"/>
      </rPr>
      <t xml:space="preserve">. If Structure Hight more than from described BOQ will be </t>
    </r>
    <r>
      <rPr>
        <b/>
        <sz val="11"/>
        <color rgb="FFFF0000"/>
        <rFont val="Calibri"/>
        <family val="2"/>
        <scheme val="minor"/>
      </rPr>
      <t>charged</t>
    </r>
    <r>
      <rPr>
        <b/>
        <sz val="11"/>
        <color theme="1"/>
        <rFont val="Calibri"/>
        <family val="2"/>
        <scheme val="minor"/>
      </rPr>
      <t xml:space="preserve"> 500RS/FEET/KW</t>
    </r>
    <r>
      <rPr>
        <sz val="11"/>
        <color theme="1"/>
        <rFont val="Calibri"/>
        <family val="2"/>
        <scheme val="minor"/>
      </rPr>
      <t xml:space="preserve"> As per Actual</t>
    </r>
  </si>
  <si>
    <r>
      <t>Described cable length in BOQ is included in standard plant rate.</t>
    </r>
    <r>
      <rPr>
        <b/>
        <sz val="11"/>
        <color theme="1"/>
        <rFont val="Calibri"/>
        <family val="2"/>
        <scheme val="minor"/>
      </rPr>
      <t xml:space="preserve"> If length more than from described BOQ will be charged  250RS/FEET/KW Upto 4.5 kw ,350RS/FEET/KW From 4.5 to 6 kw &amp; 450RS/FEET/KW From 6 to 10 kw as per Actual.</t>
    </r>
  </si>
  <si>
    <r>
      <t>Described cable length in BOQ is included in standard plant rate.</t>
    </r>
    <r>
      <rPr>
        <b/>
        <sz val="11"/>
        <color theme="1"/>
        <rFont val="Calibri"/>
        <family val="2"/>
        <scheme val="minor"/>
      </rPr>
      <t xml:space="preserve"> If length more than from described BOQ will be </t>
    </r>
    <r>
      <rPr>
        <b/>
        <sz val="11"/>
        <color rgb="FFFF0000"/>
        <rFont val="Calibri"/>
        <family val="2"/>
        <scheme val="minor"/>
      </rPr>
      <t>charged</t>
    </r>
    <r>
      <rPr>
        <b/>
        <sz val="11"/>
        <color theme="1"/>
        <rFont val="Calibri"/>
        <family val="2"/>
        <scheme val="minor"/>
      </rPr>
      <t xml:space="preserve">  250RS/FEET/KW Upto 4.5 kw ,350RS/FEET/KW From 4.5 to 6 kw &amp; 450RS/FEET/KW From 6 to 10 kw as per Actual.</t>
    </r>
  </si>
  <si>
    <t>EARTHING CABLE - INDOCAB</t>
  </si>
  <si>
    <r>
      <t xml:space="preserve">AC CABLE - </t>
    </r>
    <r>
      <rPr>
        <sz val="11"/>
        <color rgb="FFFF0000"/>
        <rFont val="Times New Roman"/>
        <family val="1"/>
      </rPr>
      <t>APAAR</t>
    </r>
  </si>
  <si>
    <t>INV - SG3.0RS</t>
  </si>
  <si>
    <t>INV - SG3.6RS</t>
  </si>
  <si>
    <t>INV - SG4.0RS</t>
  </si>
  <si>
    <t>INV - SG5.0RS</t>
  </si>
  <si>
    <t>INV - SG6.0RS</t>
  </si>
  <si>
    <t>INV - SG5.0RT</t>
  </si>
  <si>
    <t>INV - SG6.0RT</t>
  </si>
  <si>
    <t>INV - SG8.0RT</t>
  </si>
  <si>
    <t>INV - SG10RT</t>
  </si>
  <si>
    <t>620 wp Topcon (Bi-Facial)</t>
  </si>
  <si>
    <r>
      <t>MCB :-</t>
    </r>
    <r>
      <rPr>
        <sz val="10"/>
        <color rgb="FFFF0000"/>
        <rFont val="Times New Roman"/>
        <family val="1"/>
      </rPr>
      <t>Schneider</t>
    </r>
    <r>
      <rPr>
        <sz val="10"/>
        <color theme="1"/>
        <rFont val="Times New Roman"/>
        <family val="1"/>
      </rPr>
      <t xml:space="preserve">
SPD ;-</t>
    </r>
    <r>
      <rPr>
        <sz val="10"/>
        <color rgb="FFFF0000"/>
        <rFont val="Times New Roman"/>
        <family val="1"/>
      </rPr>
      <t>Finder</t>
    </r>
  </si>
  <si>
    <t>SOLAR PLANT BOQ</t>
  </si>
  <si>
    <t>MODULE</t>
  </si>
  <si>
    <t>INVERTER</t>
  </si>
  <si>
    <t>STRUCTURE</t>
  </si>
  <si>
    <t>CABLING</t>
  </si>
  <si>
    <t>CIVIL WORK</t>
  </si>
  <si>
    <t>TRANSPORT</t>
  </si>
  <si>
    <t>METER FEES</t>
  </si>
  <si>
    <t>ELECTRIFICATION</t>
  </si>
  <si>
    <t>FABRICATION</t>
  </si>
  <si>
    <t>TAXABLE VALUE</t>
  </si>
  <si>
    <t>GST
(5.7%)</t>
  </si>
  <si>
    <t>TOTAL</t>
  </si>
  <si>
    <t>COMISSIONING CHARGES</t>
  </si>
  <si>
    <t>ITEMS</t>
  </si>
  <si>
    <t>RATE</t>
  </si>
  <si>
    <t xml:space="preserve"> KW</t>
  </si>
  <si>
    <t xml:space="preserve">Discover Rate
</t>
  </si>
  <si>
    <t>Total
(Inc.GST
@ 5.7%)</t>
  </si>
  <si>
    <r>
      <t xml:space="preserve">Solar Power Generating System
</t>
    </r>
    <r>
      <rPr>
        <sz val="9"/>
        <color theme="1"/>
        <rFont val="Times New Roman"/>
        <family val="1"/>
      </rPr>
      <t>Rate with Incluid GST@5.7%</t>
    </r>
  </si>
  <si>
    <t>60 MICRONES HDPGI  (HINDUSTAR MAKE)</t>
  </si>
  <si>
    <t>1.5 MTR COPPER BOUNDED ROAD</t>
  </si>
  <si>
    <t>LA CABLE - KANBERY</t>
  </si>
  <si>
    <r>
      <rPr>
        <b/>
        <sz val="11"/>
        <color theme="1"/>
        <rFont val="Times New Roman"/>
        <family val="1"/>
      </rPr>
      <t>HINDUSTAR</t>
    </r>
    <r>
      <rPr>
        <sz val="11"/>
        <color theme="1"/>
        <rFont val="Times New Roman"/>
        <family val="1"/>
      </rPr>
      <t xml:space="preserve">
60 Micrones</t>
    </r>
  </si>
  <si>
    <t>SOLARYAAN</t>
  </si>
  <si>
    <t>DISSCOUNT</t>
  </si>
  <si>
    <t>MTR</t>
  </si>
  <si>
    <r>
      <t xml:space="preserve">DC CABLE - </t>
    </r>
    <r>
      <rPr>
        <sz val="11"/>
        <color rgb="FFFF0000"/>
        <rFont val="Times New Roman"/>
        <family val="1"/>
      </rPr>
      <t>HAVELLS</t>
    </r>
  </si>
  <si>
    <t>GST
(70%)</t>
  </si>
  <si>
    <t>DC CABLE - HAVELLS | AC CABLE - APAAR</t>
  </si>
  <si>
    <t>PAHAL SOLAR - TOPCON BI - FACIAL</t>
  </si>
  <si>
    <t>Total
(Inc.GST)</t>
  </si>
  <si>
    <t>ADANI BI FACIAL</t>
  </si>
  <si>
    <t>ADANI TOPCON BI FACIAL</t>
  </si>
  <si>
    <t>Dr Aashish</t>
  </si>
  <si>
    <t>Govind Nagar</t>
  </si>
  <si>
    <r>
      <rPr>
        <b/>
        <sz val="11"/>
        <color theme="1"/>
        <rFont val="Times New Roman"/>
        <family val="1"/>
      </rPr>
      <t>600 WP BI - FACIAL</t>
    </r>
    <r>
      <rPr>
        <sz val="11"/>
        <color theme="1"/>
        <rFont val="Times New Roman"/>
        <family val="1"/>
      </rPr>
      <t xml:space="preserve"> Module 
</t>
    </r>
    <r>
      <rPr>
        <sz val="10"/>
        <color theme="1"/>
        <rFont val="Times New Roman"/>
        <family val="1"/>
      </rPr>
      <t>30 Year Of Generation Warranty</t>
    </r>
  </si>
  <si>
    <t>PAHAL SOLAR</t>
  </si>
  <si>
    <t>PAHAL TOPCON</t>
  </si>
  <si>
    <t>adani topcon</t>
  </si>
  <si>
    <t>adani bi facial</t>
  </si>
  <si>
    <t>pahal topcon</t>
  </si>
  <si>
    <t>adani BI FACIAL</t>
  </si>
  <si>
    <t>40 X 40 HDGI PIPE</t>
  </si>
  <si>
    <t>60 x 40 HDGI PIPE</t>
  </si>
  <si>
    <t>BASE PLATE 125X125 4 MM</t>
  </si>
  <si>
    <t>J BOULT</t>
  </si>
  <si>
    <t xml:space="preserve">WEDGE ANCORE BOULT </t>
  </si>
  <si>
    <t>CHEMICAL BOTTLE</t>
  </si>
  <si>
    <t>AC -2CX2.5 SQMM</t>
  </si>
  <si>
    <t>DC -1CX2.5 SQMM</t>
  </si>
  <si>
    <t>AC -2CX4.0 SQMM</t>
  </si>
  <si>
    <t>DC -1CX4 SQMM</t>
  </si>
  <si>
    <t>ERT - 1CX2.5 SQMM</t>
  </si>
  <si>
    <t>ERT - 1CX4 SQMM</t>
  </si>
  <si>
    <t>L.A - 1CX16SQMM</t>
  </si>
  <si>
    <t>20MM PIPE</t>
  </si>
  <si>
    <t>25MM PIPE</t>
  </si>
  <si>
    <t>Quantity(MTR)</t>
  </si>
  <si>
    <t>20 MM PVC PIPE WITH SADDLE - NOS</t>
  </si>
  <si>
    <t>20 MM ELBO - NOS</t>
  </si>
  <si>
    <t>20 MM TEE - NOS</t>
  </si>
  <si>
    <t>25 MM PVC PIPE WITH SADDLE - NOS</t>
  </si>
  <si>
    <t>25 MM ELBO - NOS</t>
  </si>
  <si>
    <t>25 MM TEE - NOS</t>
  </si>
  <si>
    <t>D28</t>
  </si>
  <si>
    <t>D29</t>
  </si>
  <si>
    <t>H28</t>
  </si>
  <si>
    <t>H29</t>
  </si>
  <si>
    <t>L28</t>
  </si>
  <si>
    <t>L29</t>
  </si>
  <si>
    <t>AC - 4CX4SQMM</t>
  </si>
  <si>
    <t>EARTHING KIT</t>
  </si>
  <si>
    <t>OTHER MISC.</t>
  </si>
  <si>
    <t>D23</t>
  </si>
  <si>
    <t>D24</t>
  </si>
  <si>
    <t>D25</t>
  </si>
  <si>
    <t>D26</t>
  </si>
  <si>
    <t>D27</t>
  </si>
  <si>
    <t>H23</t>
  </si>
  <si>
    <t>H24</t>
  </si>
  <si>
    <t>H25</t>
  </si>
  <si>
    <t>H26</t>
  </si>
  <si>
    <t>H27</t>
  </si>
  <si>
    <t>L23</t>
  </si>
  <si>
    <t>L24</t>
  </si>
  <si>
    <t>L25</t>
  </si>
  <si>
    <t>L26</t>
  </si>
  <si>
    <t>L27</t>
  </si>
  <si>
    <t>4C X 4 SQMM CU.FLEX CABLE (AC)</t>
  </si>
  <si>
    <t>Pahal</t>
  </si>
  <si>
    <t>Adani</t>
  </si>
  <si>
    <t>Bi Facial Adani</t>
  </si>
  <si>
    <t>Type</t>
  </si>
  <si>
    <t>Bi-facial / Topcon</t>
  </si>
  <si>
    <t>Ratings</t>
  </si>
  <si>
    <t>No of Panels</t>
  </si>
  <si>
    <t>Calculated</t>
  </si>
  <si>
    <t>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</si>
</sst>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quot;₹&quot;\ * #,##0.00_ ;_ &quot;₹&quot;\ * \-#,##0.00_ ;_ &quot;₹&quot;\ * &quot;-&quot;??_ ;_ @_ "/>
    <numFmt numFmtId="164" formatCode="_ [$₹-4009]\ * #,##0.00_ ;_ [$₹-4009]\ * \-#,##0.00_ ;_ [$₹-4009]\ * &quot;-&quot;??_ ;_ @_ "/>
    <numFmt numFmtId="165" formatCode="_(* #,##0_);_(* \(#,##0\);_(* &quot;-&quot;??_);_(@_)"/>
    <numFmt numFmtId="166" formatCode="0.0"/>
    <numFmt numFmtId="167" formatCode="&quot;₹&quot;\ #,##0"/>
    <numFmt numFmtId="168" formatCode="_ &quot;₹&quot;\ * #,##0_ ;_ &quot;₹&quot;\ * \-#,##0_ ;_ &quot;₹&quot;\ * &quot;-&quot;??_ ;_ @_ "/>
  </numFmts>
  <fonts count="52">
    <font>
      <sz val="11"/>
      <color theme="1"/>
      <name val="Calibri"/>
      <family val="2"/>
      <scheme val="minor"/>
    </font>
    <font>
      <sz val="11"/>
      <color theme="1"/>
      <name val="Times New Roman"/>
      <family val="1"/>
    </font>
    <font>
      <b/>
      <sz val="28"/>
      <color theme="1"/>
      <name val="Bookman Old Style"/>
      <family val="1"/>
    </font>
    <font>
      <b/>
      <sz val="11"/>
      <color theme="1"/>
      <name val="Times New Roman"/>
      <family val="1"/>
    </font>
    <font>
      <b/>
      <sz val="22"/>
      <color theme="8"/>
      <name val="Bookman Old Style"/>
      <family val="1"/>
    </font>
    <font>
      <b/>
      <sz val="22"/>
      <color theme="1"/>
      <name val="Bookman Old Style"/>
      <family val="1"/>
    </font>
    <font>
      <b/>
      <sz val="22"/>
      <color theme="5"/>
      <name val="Bookman Old Style"/>
      <family val="1"/>
    </font>
    <font>
      <b/>
      <sz val="10"/>
      <color theme="1"/>
      <name val="Book Antiqua"/>
      <family val="1"/>
    </font>
    <font>
      <b/>
      <sz val="9"/>
      <color theme="1"/>
      <name val="Book Antiqua"/>
      <family val="1"/>
    </font>
    <font>
      <sz val="10"/>
      <color theme="1"/>
      <name val="Times New Roman"/>
      <family val="1"/>
    </font>
    <font>
      <b/>
      <sz val="10"/>
      <color theme="1"/>
      <name val="Times New Roman"/>
      <family val="1"/>
    </font>
    <font>
      <sz val="11"/>
      <color theme="1"/>
      <name val="Book Antiqua"/>
      <family val="1"/>
    </font>
    <font>
      <sz val="10"/>
      <color theme="1"/>
      <name val="Book Antiqua"/>
      <family val="1"/>
    </font>
    <font>
      <sz val="10"/>
      <color theme="1"/>
      <name val="Calibri"/>
      <family val="2"/>
      <scheme val="minor"/>
    </font>
    <font>
      <b/>
      <sz val="12"/>
      <color theme="1"/>
      <name val="Times New Roman"/>
      <family val="1"/>
    </font>
    <font>
      <b/>
      <u/>
      <sz val="11"/>
      <color theme="1"/>
      <name val="Times New Roman"/>
      <family val="1"/>
    </font>
    <font>
      <sz val="11"/>
      <color rgb="FFFF0000"/>
      <name val="Times New Roman"/>
      <family val="1"/>
    </font>
    <font>
      <b/>
      <sz val="11"/>
      <color rgb="FF00B050"/>
      <name val="Times New Roman"/>
      <family val="1"/>
    </font>
    <font>
      <b/>
      <sz val="11"/>
      <color rgb="FFFF0000"/>
      <name val="Times New Roman"/>
      <family val="1"/>
    </font>
    <font>
      <b/>
      <sz val="14"/>
      <color theme="1"/>
      <name val="Book Antiqua"/>
      <family val="1"/>
    </font>
    <font>
      <b/>
      <sz val="11"/>
      <color theme="1"/>
      <name val="Calibri"/>
      <family val="2"/>
      <scheme val="minor"/>
    </font>
    <font>
      <b/>
      <sz val="11"/>
      <color rgb="FFFF0000"/>
      <name val="Calibri"/>
      <family val="2"/>
      <scheme val="minor"/>
    </font>
    <font>
      <sz val="11"/>
      <color rgb="FFFF0000"/>
      <name val="Calibri"/>
      <family val="2"/>
      <scheme val="minor"/>
    </font>
    <font>
      <b/>
      <sz val="14"/>
      <color theme="1"/>
      <name val="Bookman Old Style"/>
      <family val="1"/>
    </font>
    <font>
      <sz val="11"/>
      <color rgb="FFFF0000"/>
      <name val="Book Antiqua"/>
      <family val="1"/>
    </font>
    <font>
      <b/>
      <sz val="10"/>
      <color rgb="FFFF0000"/>
      <name val="Book Antiqua"/>
      <family val="1"/>
    </font>
    <font>
      <sz val="10"/>
      <color rgb="FFFF0000"/>
      <name val="Times New Roman"/>
      <family val="1"/>
    </font>
    <font>
      <sz val="9"/>
      <color rgb="FFFF0000"/>
      <name val="Times New Roman"/>
      <family val="1"/>
    </font>
    <font>
      <sz val="8"/>
      <color theme="1"/>
      <name val="Times New Roman"/>
      <family val="1"/>
    </font>
    <font>
      <b/>
      <sz val="13"/>
      <color theme="1"/>
      <name val="Calibri"/>
      <family val="2"/>
      <scheme val="minor"/>
    </font>
    <font>
      <b/>
      <sz val="9"/>
      <color rgb="FFFF0000"/>
      <name val="Book Antiqua"/>
      <family val="1"/>
    </font>
    <font>
      <sz val="12"/>
      <name val="Calibri"/>
      <family val="2"/>
      <scheme val="minor"/>
    </font>
    <font>
      <sz val="10"/>
      <color rgb="FFFF0000"/>
      <name val="Book Antiqua"/>
      <family val="1"/>
    </font>
    <font>
      <sz val="9"/>
      <color theme="1"/>
      <name val="Times New Roman"/>
      <family val="1"/>
    </font>
    <font>
      <b/>
      <sz val="12"/>
      <color theme="1"/>
      <name val="Bookman Old Style"/>
      <family val="1"/>
    </font>
    <font>
      <sz val="12"/>
      <color theme="1"/>
      <name val="Calibri Light"/>
      <family val="2"/>
      <scheme val="major"/>
    </font>
    <font>
      <sz val="11"/>
      <name val="Calibri"/>
      <family val="2"/>
      <scheme val="minor"/>
    </font>
    <font>
      <sz val="13"/>
      <color theme="1"/>
      <name val="Calibri"/>
      <family val="2"/>
      <scheme val="minor"/>
    </font>
    <font>
      <b/>
      <sz val="11"/>
      <name val="Calibri"/>
      <family val="2"/>
      <scheme val="minor"/>
    </font>
    <font>
      <b/>
      <sz val="12"/>
      <name val="Calibri"/>
      <family val="2"/>
      <scheme val="minor"/>
    </font>
    <font>
      <b/>
      <sz val="12"/>
      <name val="Times New Roman"/>
      <family val="1"/>
    </font>
    <font>
      <b/>
      <sz val="19"/>
      <color theme="1"/>
      <name val="Book Antiqua"/>
      <family val="1"/>
    </font>
    <font>
      <b/>
      <sz val="12"/>
      <color rgb="FFFF0000"/>
      <name val="Calibri"/>
      <family val="2"/>
      <scheme val="minor"/>
    </font>
    <font>
      <b/>
      <sz val="10"/>
      <color rgb="FFFF0000"/>
      <name val="Times New Roman"/>
      <family val="1"/>
    </font>
    <font>
      <sz val="14"/>
      <name val="Calibri Light"/>
      <family val="2"/>
      <scheme val="major"/>
    </font>
    <font>
      <sz val="14"/>
      <color theme="1"/>
      <name val="Calibri Light"/>
      <family val="2"/>
      <scheme val="major"/>
    </font>
    <font>
      <b/>
      <sz val="11"/>
      <color theme="1"/>
      <name val="Calibri Light"/>
      <family val="2"/>
      <scheme val="major"/>
    </font>
    <font>
      <b/>
      <sz val="11"/>
      <color theme="0" tint="-0.14999847407452621"/>
      <name val="Calibri Light"/>
      <family val="2"/>
      <scheme val="major"/>
    </font>
    <font>
      <sz val="11"/>
      <color theme="1"/>
      <name val="Calibri Light"/>
      <family val="2"/>
      <scheme val="major"/>
    </font>
    <font>
      <b/>
      <sz val="36"/>
      <color theme="0"/>
      <name val="Swis721 BlkOul BT"/>
      <family val="5"/>
    </font>
    <font>
      <b/>
      <sz val="9"/>
      <color theme="1"/>
      <name val="Calibri Light"/>
      <family val="2"/>
      <scheme val="major"/>
    </font>
    <font>
      <sz val="8"/>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theme="5" tint="0.39997558519241921"/>
        <bgColor indexed="64"/>
      </patternFill>
    </fill>
    <fill>
      <patternFill patternType="solid">
        <fgColor theme="5" tint="-0.499984740745262"/>
        <bgColor indexed="64"/>
      </patternFill>
    </fill>
  </fills>
  <borders count="48">
    <border>
      <left/>
      <right/>
      <top/>
      <bottom/>
      <diagonal/>
    </border>
    <border>
      <left style="thin">
        <color indexed="64"/>
      </left>
      <right/>
      <top/>
      <bottom/>
      <diagonal/>
    </border>
    <border>
      <left/>
      <right style="thin">
        <color indexed="64"/>
      </right>
      <top/>
      <bottom/>
      <diagonal/>
    </border>
    <border>
      <left/>
      <right/>
      <top/>
      <bottom style="double">
        <color indexed="64"/>
      </bottom>
      <diagonal/>
    </border>
    <border>
      <left/>
      <right/>
      <top style="thin">
        <color indexed="64"/>
      </top>
      <bottom style="double">
        <color indexed="64"/>
      </bottom>
      <diagonal/>
    </border>
    <border>
      <left/>
      <right/>
      <top style="double">
        <color indexed="64"/>
      </top>
      <bottom/>
      <diagonal/>
    </border>
    <border>
      <left/>
      <right style="thin">
        <color indexed="64"/>
      </right>
      <top style="double">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double">
        <color indexed="64"/>
      </left>
      <right style="double">
        <color indexed="64"/>
      </right>
      <top style="double">
        <color indexed="64"/>
      </top>
      <bottom style="double">
        <color indexed="64"/>
      </bottom>
      <diagonal/>
    </border>
    <border>
      <left/>
      <right style="medium">
        <color indexed="64"/>
      </right>
      <top style="thin">
        <color indexed="64"/>
      </top>
      <bottom/>
      <diagonal/>
    </border>
    <border>
      <left/>
      <right/>
      <top/>
      <bottom style="medium">
        <color indexed="64"/>
      </bottom>
      <diagonal/>
    </border>
    <border>
      <left/>
      <right style="medium">
        <color indexed="64"/>
      </right>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medium">
        <color indexed="64"/>
      </right>
      <top style="double">
        <color indexed="64"/>
      </top>
      <bottom style="double">
        <color indexed="64"/>
      </bottom>
      <diagonal/>
    </border>
    <border>
      <left style="medium">
        <color indexed="64"/>
      </left>
      <right style="medium">
        <color indexed="64"/>
      </right>
      <top style="double">
        <color indexed="64"/>
      </top>
      <bottom style="double">
        <color indexed="64"/>
      </bottom>
      <diagonal/>
    </border>
    <border>
      <left style="medium">
        <color indexed="64"/>
      </left>
      <right style="double">
        <color indexed="64"/>
      </right>
      <top style="double">
        <color indexed="64"/>
      </top>
      <bottom style="double">
        <color indexed="64"/>
      </bottom>
      <diagonal/>
    </border>
    <border>
      <left/>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double">
        <color indexed="64"/>
      </left>
      <right/>
      <top/>
      <bottom/>
      <diagonal/>
    </border>
  </borders>
  <cellStyleXfs count="1">
    <xf numFmtId="0" fontId="0" fillId="0" borderId="0"/>
  </cellStyleXfs>
  <cellXfs count="297">
    <xf numFmtId="0" fontId="0" fillId="0" borderId="0" xfId="0"/>
    <xf numFmtId="0" fontId="1" fillId="0" borderId="0" xfId="0" applyFont="1" applyAlignment="1">
      <alignment horizontal="left" vertical="center"/>
    </xf>
    <xf numFmtId="0" fontId="1" fillId="0" borderId="0" xfId="0" applyFont="1"/>
    <xf numFmtId="0" fontId="9" fillId="0" borderId="0" xfId="0" applyFont="1" applyAlignment="1">
      <alignment vertical="center"/>
    </xf>
    <xf numFmtId="0" fontId="3" fillId="0" borderId="0" xfId="0" applyFont="1" applyAlignment="1">
      <alignment vertical="center"/>
    </xf>
    <xf numFmtId="0" fontId="0" fillId="0" borderId="0" xfId="0" applyAlignment="1">
      <alignment horizontal="left"/>
    </xf>
    <xf numFmtId="0" fontId="11" fillId="0" borderId="0" xfId="0" applyFont="1" applyAlignment="1">
      <alignment vertical="center"/>
    </xf>
    <xf numFmtId="0" fontId="0" fillId="0" borderId="6" xfId="0" applyBorder="1"/>
    <xf numFmtId="0" fontId="11" fillId="0" borderId="0" xfId="0" applyFont="1" applyAlignment="1">
      <alignment horizontal="left" vertical="center"/>
    </xf>
    <xf numFmtId="0" fontId="13" fillId="0" borderId="0" xfId="0" applyFont="1"/>
    <xf numFmtId="0" fontId="14" fillId="0" borderId="7" xfId="0" applyFont="1" applyBorder="1" applyAlignment="1">
      <alignment horizontal="center" vertical="center"/>
    </xf>
    <xf numFmtId="0" fontId="3" fillId="0" borderId="7" xfId="0" applyFont="1" applyBorder="1" applyAlignment="1">
      <alignment horizontal="center" vertical="center"/>
    </xf>
    <xf numFmtId="0" fontId="0" fillId="0" borderId="5" xfId="0" applyBorder="1"/>
    <xf numFmtId="0" fontId="12" fillId="0" borderId="0" xfId="0" applyFont="1"/>
    <xf numFmtId="0" fontId="12" fillId="0" borderId="2" xfId="0" applyFont="1" applyBorder="1"/>
    <xf numFmtId="0" fontId="11" fillId="0" borderId="0" xfId="0" applyFont="1"/>
    <xf numFmtId="0" fontId="0" fillId="0" borderId="0" xfId="0" applyAlignment="1">
      <alignment vertical="center"/>
    </xf>
    <xf numFmtId="0" fontId="0" fillId="0" borderId="7" xfId="0" applyBorder="1"/>
    <xf numFmtId="165" fontId="3" fillId="3" borderId="1" xfId="0" applyNumberFormat="1" applyFont="1" applyFill="1" applyBorder="1" applyAlignment="1">
      <alignment horizontal="center" vertical="center" wrapText="1"/>
    </xf>
    <xf numFmtId="165" fontId="3" fillId="3" borderId="0" xfId="0" applyNumberFormat="1" applyFont="1" applyFill="1" applyAlignment="1">
      <alignment horizontal="center" vertical="center" wrapText="1"/>
    </xf>
    <xf numFmtId="49" fontId="0" fillId="0" borderId="0" xfId="0" applyNumberFormat="1"/>
    <xf numFmtId="2" fontId="0" fillId="0" borderId="0" xfId="0" applyNumberFormat="1"/>
    <xf numFmtId="1" fontId="0" fillId="0" borderId="0" xfId="0" applyNumberFormat="1"/>
    <xf numFmtId="0" fontId="7" fillId="0" borderId="0" xfId="0" applyFont="1" applyAlignment="1">
      <alignment vertical="center"/>
    </xf>
    <xf numFmtId="0" fontId="7" fillId="2" borderId="0" xfId="0" applyFont="1" applyFill="1" applyAlignment="1">
      <alignment vertical="center"/>
    </xf>
    <xf numFmtId="0" fontId="0" fillId="0" borderId="0" xfId="0" applyAlignment="1">
      <alignment horizontal="right" vertical="center"/>
    </xf>
    <xf numFmtId="0" fontId="10" fillId="0" borderId="0" xfId="0" applyFont="1" applyAlignment="1">
      <alignment vertical="top" wrapText="1"/>
    </xf>
    <xf numFmtId="0" fontId="10" fillId="0" borderId="0" xfId="0" applyFont="1" applyAlignment="1">
      <alignment horizontal="right" vertical="center" wrapText="1"/>
    </xf>
    <xf numFmtId="14" fontId="10" fillId="0" borderId="0" xfId="0" applyNumberFormat="1" applyFont="1" applyAlignment="1">
      <alignment horizontal="left" vertical="center" wrapText="1"/>
    </xf>
    <xf numFmtId="0" fontId="10" fillId="0" borderId="0" xfId="0" applyFont="1" applyAlignment="1">
      <alignment horizontal="right" vertical="top" wrapText="1"/>
    </xf>
    <xf numFmtId="14" fontId="0" fillId="0" borderId="5" xfId="0" applyNumberFormat="1" applyBorder="1"/>
    <xf numFmtId="14" fontId="3" fillId="0" borderId="5" xfId="0" applyNumberFormat="1" applyFont="1" applyBorder="1" applyAlignment="1">
      <alignment vertical="center"/>
    </xf>
    <xf numFmtId="0" fontId="3" fillId="0" borderId="5" xfId="0" applyFont="1" applyBorder="1" applyAlignment="1">
      <alignment vertical="center"/>
    </xf>
    <xf numFmtId="0" fontId="0" fillId="0" borderId="0" xfId="0" applyAlignment="1">
      <alignment horizontal="center" vertical="center"/>
    </xf>
    <xf numFmtId="14" fontId="9" fillId="0" borderId="0" xfId="0" applyNumberFormat="1" applyFont="1" applyAlignment="1">
      <alignment horizontal="left" vertical="center" wrapText="1"/>
    </xf>
    <xf numFmtId="0" fontId="22" fillId="0" borderId="0" xfId="0" applyFont="1"/>
    <xf numFmtId="0" fontId="12" fillId="0" borderId="0" xfId="0" applyFont="1" applyAlignment="1">
      <alignment vertical="center"/>
    </xf>
    <xf numFmtId="0" fontId="12" fillId="0" borderId="2" xfId="0" applyFont="1" applyBorder="1" applyAlignment="1">
      <alignment vertical="center"/>
    </xf>
    <xf numFmtId="0" fontId="20" fillId="0" borderId="0" xfId="0" applyFont="1" applyAlignment="1">
      <alignment horizontal="center" vertical="center"/>
    </xf>
    <xf numFmtId="0" fontId="25" fillId="2" borderId="0" xfId="0" applyFont="1" applyFill="1" applyAlignment="1">
      <alignment vertical="center"/>
    </xf>
    <xf numFmtId="0" fontId="1" fillId="0" borderId="0" xfId="0" applyFont="1" applyAlignment="1">
      <alignment wrapText="1"/>
    </xf>
    <xf numFmtId="0" fontId="29" fillId="0" borderId="7" xfId="0" applyFont="1" applyBorder="1" applyAlignment="1">
      <alignment horizontal="center" vertical="center"/>
    </xf>
    <xf numFmtId="2" fontId="29" fillId="0" borderId="7" xfId="0" applyNumberFormat="1" applyFont="1" applyBorder="1" applyAlignment="1">
      <alignment horizontal="center" vertical="center"/>
    </xf>
    <xf numFmtId="167" fontId="29" fillId="0" borderId="7" xfId="0" applyNumberFormat="1" applyFont="1" applyBorder="1" applyAlignment="1">
      <alignment horizontal="center" vertical="center"/>
    </xf>
    <xf numFmtId="166" fontId="25" fillId="2" borderId="0" xfId="0" applyNumberFormat="1" applyFont="1" applyFill="1" applyAlignment="1">
      <alignment horizontal="left" vertical="center"/>
    </xf>
    <xf numFmtId="0" fontId="12"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164" fontId="17" fillId="0" borderId="0" xfId="0" applyNumberFormat="1" applyFont="1" applyAlignment="1">
      <alignment horizontal="center" vertical="center" wrapText="1"/>
    </xf>
    <xf numFmtId="0" fontId="1" fillId="0" borderId="17" xfId="0" applyFont="1" applyBorder="1" applyAlignment="1">
      <alignment horizontal="center" vertical="center"/>
    </xf>
    <xf numFmtId="0" fontId="1" fillId="0" borderId="12" xfId="0" applyFont="1" applyBorder="1" applyAlignment="1">
      <alignment horizontal="center" vertical="center"/>
    </xf>
    <xf numFmtId="0" fontId="1" fillId="4" borderId="7" xfId="0" applyFont="1" applyFill="1" applyBorder="1" applyAlignment="1">
      <alignment vertical="center"/>
    </xf>
    <xf numFmtId="0" fontId="14" fillId="0" borderId="0" xfId="0" applyFont="1" applyAlignment="1">
      <alignment vertical="center"/>
    </xf>
    <xf numFmtId="0" fontId="0" fillId="0" borderId="25" xfId="0" applyBorder="1" applyAlignment="1">
      <alignment horizontal="center" vertical="center"/>
    </xf>
    <xf numFmtId="0" fontId="36" fillId="0" borderId="0" xfId="0" applyFont="1" applyAlignment="1">
      <alignment horizontal="center" vertical="center"/>
    </xf>
    <xf numFmtId="0" fontId="36" fillId="0" borderId="0" xfId="0" applyFont="1" applyAlignment="1">
      <alignment horizontal="center" vertical="center" wrapText="1"/>
    </xf>
    <xf numFmtId="0" fontId="23" fillId="5" borderId="29" xfId="0" applyFont="1" applyFill="1" applyBorder="1" applyAlignment="1">
      <alignment vertical="center"/>
    </xf>
    <xf numFmtId="0" fontId="34" fillId="5" borderId="29" xfId="0" applyFont="1" applyFill="1" applyBorder="1" applyAlignment="1">
      <alignment horizontal="center" vertical="center" wrapText="1"/>
    </xf>
    <xf numFmtId="0" fontId="0" fillId="0" borderId="25" xfId="0" applyBorder="1" applyAlignment="1">
      <alignment vertical="center"/>
    </xf>
    <xf numFmtId="0" fontId="29" fillId="0" borderId="15" xfId="0" applyFont="1" applyBorder="1" applyAlignment="1">
      <alignment horizontal="center" vertical="center"/>
    </xf>
    <xf numFmtId="2" fontId="29" fillId="0" borderId="15" xfId="0" applyNumberFormat="1" applyFont="1" applyBorder="1" applyAlignment="1">
      <alignment horizontal="center" vertical="center"/>
    </xf>
    <xf numFmtId="0" fontId="37" fillId="0" borderId="7" xfId="0" applyFont="1" applyBorder="1" applyAlignment="1">
      <alignment horizontal="center" vertical="center"/>
    </xf>
    <xf numFmtId="2" fontId="37" fillId="0" borderId="7" xfId="0" applyNumberFormat="1" applyFont="1" applyBorder="1" applyAlignment="1">
      <alignment horizontal="center" vertical="center"/>
    </xf>
    <xf numFmtId="167" fontId="37" fillId="0" borderId="7" xfId="0" applyNumberFormat="1" applyFont="1" applyBorder="1" applyAlignment="1">
      <alignment horizontal="center" vertical="center"/>
    </xf>
    <xf numFmtId="1" fontId="37" fillId="0" borderId="7" xfId="0" applyNumberFormat="1" applyFont="1" applyBorder="1" applyAlignment="1">
      <alignment horizontal="center" vertical="center"/>
    </xf>
    <xf numFmtId="0" fontId="37" fillId="0" borderId="15" xfId="0" applyFont="1" applyBorder="1" applyAlignment="1">
      <alignment horizontal="center" vertical="center"/>
    </xf>
    <xf numFmtId="2" fontId="37" fillId="0" borderId="15" xfId="0" applyNumberFormat="1" applyFont="1" applyBorder="1" applyAlignment="1">
      <alignment horizontal="center" vertical="center"/>
    </xf>
    <xf numFmtId="167" fontId="37" fillId="0" borderId="15" xfId="0" applyNumberFormat="1" applyFont="1" applyBorder="1" applyAlignment="1">
      <alignment horizontal="center" vertical="center"/>
    </xf>
    <xf numFmtId="1" fontId="37" fillId="0" borderId="15" xfId="0" applyNumberFormat="1" applyFont="1" applyBorder="1" applyAlignment="1">
      <alignment horizontal="center" vertical="center"/>
    </xf>
    <xf numFmtId="0" fontId="14" fillId="5" borderId="8" xfId="0" applyFont="1" applyFill="1" applyBorder="1" applyAlignment="1">
      <alignment horizontal="center" vertical="center" wrapText="1"/>
    </xf>
    <xf numFmtId="165" fontId="40" fillId="5" borderId="8" xfId="0" applyNumberFormat="1" applyFont="1" applyFill="1" applyBorder="1" applyAlignment="1">
      <alignment horizontal="center" vertical="center" wrapText="1"/>
    </xf>
    <xf numFmtId="165" fontId="14" fillId="5" borderId="8" xfId="0" applyNumberFormat="1" applyFont="1" applyFill="1" applyBorder="1" applyAlignment="1">
      <alignment horizontal="center" vertical="center" wrapText="1"/>
    </xf>
    <xf numFmtId="0" fontId="0" fillId="0" borderId="19" xfId="0" applyBorder="1" applyAlignment="1">
      <alignment vertical="center"/>
    </xf>
    <xf numFmtId="0" fontId="0" fillId="0" borderId="46" xfId="0" applyBorder="1" applyAlignment="1">
      <alignment vertical="center"/>
    </xf>
    <xf numFmtId="0" fontId="20" fillId="4" borderId="43" xfId="0" applyFont="1" applyFill="1" applyBorder="1" applyAlignment="1">
      <alignment horizontal="center" vertical="center"/>
    </xf>
    <xf numFmtId="0" fontId="45" fillId="0" borderId="0" xfId="0" applyFont="1" applyAlignment="1">
      <alignment vertical="center"/>
    </xf>
    <xf numFmtId="44" fontId="0" fillId="0" borderId="0" xfId="0" applyNumberFormat="1"/>
    <xf numFmtId="0" fontId="34" fillId="5" borderId="33" xfId="0" applyFont="1" applyFill="1" applyBorder="1" applyAlignment="1">
      <alignment horizontal="center" vertical="center" wrapText="1"/>
    </xf>
    <xf numFmtId="165" fontId="14" fillId="5" borderId="12" xfId="0" applyNumberFormat="1" applyFont="1" applyFill="1" applyBorder="1" applyAlignment="1">
      <alignment horizontal="center" vertical="center" wrapText="1"/>
    </xf>
    <xf numFmtId="1" fontId="37" fillId="0" borderId="17" xfId="0" applyNumberFormat="1" applyFont="1" applyBorder="1" applyAlignment="1">
      <alignment horizontal="center" vertical="center"/>
    </xf>
    <xf numFmtId="1" fontId="37" fillId="0" borderId="10" xfId="0" applyNumberFormat="1" applyFont="1" applyBorder="1" applyAlignment="1">
      <alignment horizontal="center" vertical="center"/>
    </xf>
    <xf numFmtId="0" fontId="46" fillId="4" borderId="7" xfId="0" applyFont="1" applyFill="1" applyBorder="1" applyAlignment="1">
      <alignment horizontal="center" vertical="center" wrapText="1"/>
    </xf>
    <xf numFmtId="44" fontId="46" fillId="4" borderId="7" xfId="0" applyNumberFormat="1" applyFont="1" applyFill="1" applyBorder="1" applyAlignment="1">
      <alignment horizontal="center" vertical="center" wrapText="1"/>
    </xf>
    <xf numFmtId="9" fontId="47" fillId="4" borderId="7" xfId="0" applyNumberFormat="1" applyFont="1" applyFill="1" applyBorder="1" applyAlignment="1">
      <alignment horizontal="center" vertical="center" wrapText="1"/>
    </xf>
    <xf numFmtId="10" fontId="46" fillId="4" borderId="7" xfId="0" applyNumberFormat="1" applyFont="1" applyFill="1" applyBorder="1" applyAlignment="1">
      <alignment horizontal="center" vertical="center" wrapText="1"/>
    </xf>
    <xf numFmtId="0" fontId="1" fillId="4" borderId="7" xfId="0" applyFont="1" applyFill="1" applyBorder="1" applyAlignment="1">
      <alignment wrapText="1"/>
    </xf>
    <xf numFmtId="44" fontId="0" fillId="0" borderId="7" xfId="0" applyNumberFormat="1" applyBorder="1"/>
    <xf numFmtId="0" fontId="48" fillId="0" borderId="7" xfId="0" applyFont="1" applyBorder="1" applyAlignment="1">
      <alignment vertical="center" wrapText="1"/>
    </xf>
    <xf numFmtId="44" fontId="0" fillId="0" borderId="15" xfId="0" applyNumberFormat="1" applyBorder="1"/>
    <xf numFmtId="168" fontId="29" fillId="0" borderId="7" xfId="0" applyNumberFormat="1" applyFont="1" applyBorder="1" applyAlignment="1">
      <alignment horizontal="center" vertical="center"/>
    </xf>
    <xf numFmtId="168" fontId="0" fillId="0" borderId="7" xfId="0" applyNumberFormat="1" applyBorder="1"/>
    <xf numFmtId="168" fontId="29" fillId="0" borderId="15" xfId="0" applyNumberFormat="1" applyFont="1" applyBorder="1" applyAlignment="1">
      <alignment horizontal="center" vertical="center"/>
    </xf>
    <xf numFmtId="0" fontId="50" fillId="7" borderId="7" xfId="0" applyFont="1" applyFill="1" applyBorder="1" applyAlignment="1">
      <alignment vertical="center" wrapText="1"/>
    </xf>
    <xf numFmtId="0" fontId="0" fillId="0" borderId="19" xfId="0" applyBorder="1" applyAlignment="1">
      <alignment horizontal="center" vertical="center"/>
    </xf>
    <xf numFmtId="0" fontId="0" fillId="0" borderId="46" xfId="0" applyBorder="1" applyAlignment="1">
      <alignment horizontal="center" vertical="center"/>
    </xf>
    <xf numFmtId="0" fontId="0" fillId="0" borderId="7" xfId="0" applyBorder="1" applyAlignment="1">
      <alignment horizontal="center" vertical="center"/>
    </xf>
    <xf numFmtId="0" fontId="0" fillId="0" borderId="1" xfId="0" applyBorder="1" applyAlignment="1">
      <alignment horizontal="center"/>
    </xf>
    <xf numFmtId="0" fontId="0" fillId="0" borderId="0" xfId="0" applyAlignment="1">
      <alignment horizontal="center"/>
    </xf>
    <xf numFmtId="0" fontId="9" fillId="0" borderId="0" xfId="0" applyFont="1" applyAlignment="1">
      <alignment horizontal="left" vertical="center"/>
    </xf>
    <xf numFmtId="0" fontId="14" fillId="0" borderId="7" xfId="0" applyFont="1" applyBorder="1" applyAlignment="1">
      <alignment horizontal="center" vertical="center"/>
    </xf>
    <xf numFmtId="0" fontId="13" fillId="0" borderId="0" xfId="0" applyFont="1" applyAlignment="1">
      <alignment horizontal="center"/>
    </xf>
    <xf numFmtId="0" fontId="12" fillId="0" borderId="0" xfId="0" applyFont="1" applyAlignment="1">
      <alignment horizontal="left" vertical="center"/>
    </xf>
    <xf numFmtId="0" fontId="12" fillId="2" borderId="0" xfId="0" applyFont="1" applyFill="1" applyAlignment="1">
      <alignment horizontal="left" vertical="center"/>
    </xf>
    <xf numFmtId="0" fontId="11" fillId="0" borderId="0" xfId="0" applyFont="1" applyAlignment="1">
      <alignment horizontal="center"/>
    </xf>
    <xf numFmtId="0" fontId="7" fillId="0" borderId="0" xfId="0" applyFont="1" applyAlignment="1">
      <alignment horizontal="left" vertical="center"/>
    </xf>
    <xf numFmtId="0" fontId="7" fillId="2" borderId="0" xfId="0" applyFont="1" applyFill="1" applyAlignment="1">
      <alignment horizontal="left" vertical="center"/>
    </xf>
    <xf numFmtId="22" fontId="1" fillId="0" borderId="0" xfId="0" applyNumberFormat="1" applyFont="1" applyAlignment="1">
      <alignment horizontal="center"/>
    </xf>
    <xf numFmtId="0" fontId="30" fillId="2" borderId="0" xfId="0" applyFont="1" applyFill="1" applyAlignment="1">
      <alignment horizontal="left" vertical="center"/>
    </xf>
    <xf numFmtId="0" fontId="7" fillId="2" borderId="1" xfId="0" applyFont="1" applyFill="1" applyBorder="1" applyAlignment="1">
      <alignment horizontal="left" vertical="center" wrapText="1"/>
    </xf>
    <xf numFmtId="0" fontId="7" fillId="2" borderId="0" xfId="0" applyFont="1" applyFill="1" applyAlignment="1">
      <alignment horizontal="left" vertical="center" wrapText="1"/>
    </xf>
    <xf numFmtId="0" fontId="11" fillId="0" borderId="0" xfId="0" applyFont="1" applyAlignment="1">
      <alignment horizontal="left" vertical="center"/>
    </xf>
    <xf numFmtId="0" fontId="1" fillId="0" borderId="0" xfId="0" applyFont="1" applyAlignment="1">
      <alignment horizontal="left" vertical="center"/>
    </xf>
    <xf numFmtId="49" fontId="1" fillId="0" borderId="0" xfId="0" applyNumberFormat="1" applyFont="1" applyAlignment="1">
      <alignment horizontal="left" vertical="center" wrapText="1"/>
    </xf>
    <xf numFmtId="49" fontId="1" fillId="0" borderId="0" xfId="0" applyNumberFormat="1" applyFont="1" applyAlignment="1">
      <alignment horizontal="left" vertical="center"/>
    </xf>
    <xf numFmtId="0" fontId="1" fillId="0" borderId="0" xfId="0" applyFont="1" applyAlignment="1">
      <alignment horizontal="center" vertical="center"/>
    </xf>
    <xf numFmtId="0" fontId="19" fillId="4" borderId="4" xfId="0" applyFont="1" applyFill="1" applyBorder="1" applyAlignment="1">
      <alignment horizontal="center"/>
    </xf>
    <xf numFmtId="0" fontId="12" fillId="0" borderId="0" xfId="0" applyFont="1" applyAlignment="1">
      <alignment horizontal="center"/>
    </xf>
    <xf numFmtId="0" fontId="12" fillId="0" borderId="2" xfId="0" applyFont="1" applyBorder="1" applyAlignment="1">
      <alignment horizontal="left" vertical="center"/>
    </xf>
    <xf numFmtId="0" fontId="32" fillId="2" borderId="0" xfId="0" applyFont="1" applyFill="1" applyAlignment="1">
      <alignment horizontal="left" vertical="center"/>
    </xf>
    <xf numFmtId="0" fontId="32" fillId="2" borderId="2" xfId="0" applyFont="1" applyFill="1" applyBorder="1" applyAlignment="1">
      <alignment horizontal="left" vertical="center"/>
    </xf>
    <xf numFmtId="0" fontId="2" fillId="0" borderId="0" xfId="0" applyFont="1" applyAlignment="1">
      <alignment horizontal="center" vertical="top" wrapText="1"/>
    </xf>
    <xf numFmtId="0" fontId="9" fillId="0" borderId="3" xfId="0" applyFont="1" applyBorder="1" applyAlignment="1">
      <alignment horizontal="center" vertical="center" wrapText="1"/>
    </xf>
    <xf numFmtId="0" fontId="1" fillId="0" borderId="0" xfId="0" applyFont="1" applyAlignment="1">
      <alignment horizontal="right" vertical="center" wrapText="1"/>
    </xf>
    <xf numFmtId="0" fontId="1" fillId="0" borderId="0" xfId="0" applyFont="1" applyAlignment="1">
      <alignment horizontal="right" vertical="center"/>
    </xf>
    <xf numFmtId="0" fontId="3" fillId="0" borderId="0" xfId="0" applyFont="1" applyAlignment="1">
      <alignment horizontal="center" vertical="center"/>
    </xf>
    <xf numFmtId="0" fontId="1" fillId="0" borderId="0" xfId="0" applyFont="1" applyAlignment="1">
      <alignment horizontal="left" vertical="center" wrapText="1"/>
    </xf>
    <xf numFmtId="0" fontId="11" fillId="0" borderId="0" xfId="0" applyFont="1" applyAlignment="1">
      <alignment horizontal="left"/>
    </xf>
    <xf numFmtId="0" fontId="10" fillId="0" borderId="0" xfId="0" applyFont="1" applyAlignment="1">
      <alignment horizontal="left" vertical="center" wrapText="1"/>
    </xf>
    <xf numFmtId="0" fontId="1" fillId="0" borderId="0" xfId="0" applyFont="1" applyAlignment="1">
      <alignment horizontal="left" vertical="top" wrapText="1"/>
    </xf>
    <xf numFmtId="0" fontId="19" fillId="4" borderId="3" xfId="0" applyFont="1" applyFill="1" applyBorder="1" applyAlignment="1">
      <alignment horizontal="center"/>
    </xf>
    <xf numFmtId="0" fontId="10" fillId="0" borderId="0" xfId="0" applyFont="1" applyAlignment="1">
      <alignment horizontal="center" vertical="center"/>
    </xf>
    <xf numFmtId="0" fontId="1" fillId="0" borderId="7" xfId="0" applyFont="1" applyBorder="1" applyAlignment="1">
      <alignment horizontal="center" vertical="center" wrapText="1"/>
    </xf>
    <xf numFmtId="0" fontId="1" fillId="0" borderId="7" xfId="0" applyFont="1" applyBorder="1" applyAlignment="1">
      <alignment horizontal="center" vertical="center"/>
    </xf>
    <xf numFmtId="0" fontId="1" fillId="0" borderId="17" xfId="0" applyFont="1" applyBorder="1" applyAlignment="1">
      <alignment horizontal="center" vertical="center"/>
    </xf>
    <xf numFmtId="0" fontId="1" fillId="0" borderId="20" xfId="0" applyFont="1" applyBorder="1" applyAlignment="1">
      <alignment horizontal="center" vertical="center"/>
    </xf>
    <xf numFmtId="0" fontId="1" fillId="0" borderId="16" xfId="0" applyFont="1" applyBorder="1" applyAlignment="1">
      <alignment horizontal="center" vertical="center"/>
    </xf>
    <xf numFmtId="0" fontId="1" fillId="0" borderId="7" xfId="0" applyFont="1" applyBorder="1" applyAlignment="1">
      <alignment horizontal="left" vertical="center" wrapText="1"/>
    </xf>
    <xf numFmtId="0" fontId="3" fillId="4" borderId="7" xfId="0" applyFont="1" applyFill="1" applyBorder="1" applyAlignment="1">
      <alignment horizontal="center" vertical="center" wrapText="1"/>
    </xf>
    <xf numFmtId="0" fontId="3" fillId="4" borderId="7" xfId="0" applyFont="1" applyFill="1" applyBorder="1" applyAlignment="1">
      <alignment horizontal="center" vertical="center"/>
    </xf>
    <xf numFmtId="0" fontId="1" fillId="0" borderId="8" xfId="0" applyFont="1" applyBorder="1" applyAlignment="1">
      <alignment horizontal="center" vertical="center" wrapText="1"/>
    </xf>
    <xf numFmtId="0" fontId="1" fillId="0" borderId="8" xfId="0" applyFont="1" applyBorder="1" applyAlignment="1">
      <alignment horizontal="center" vertical="center"/>
    </xf>
    <xf numFmtId="0" fontId="9" fillId="0" borderId="7" xfId="0" applyFont="1" applyBorder="1" applyAlignment="1">
      <alignment horizontal="center" vertical="center" wrapText="1"/>
    </xf>
    <xf numFmtId="0" fontId="9" fillId="0" borderId="7"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9" fillId="4" borderId="27" xfId="0" applyFont="1" applyFill="1" applyBorder="1" applyAlignment="1">
      <alignment horizontal="center"/>
    </xf>
    <xf numFmtId="0" fontId="19" fillId="4" borderId="28" xfId="0" applyFont="1" applyFill="1" applyBorder="1" applyAlignment="1">
      <alignment horizontal="center"/>
    </xf>
    <xf numFmtId="0" fontId="9" fillId="0" borderId="7" xfId="0" applyFont="1" applyBorder="1" applyAlignment="1">
      <alignment horizontal="center"/>
    </xf>
    <xf numFmtId="0" fontId="1" fillId="0" borderId="8" xfId="0" applyFont="1" applyBorder="1" applyAlignment="1">
      <alignment horizontal="left" vertical="center" wrapText="1"/>
    </xf>
    <xf numFmtId="0" fontId="43" fillId="0" borderId="7" xfId="0" applyFont="1" applyBorder="1" applyAlignment="1">
      <alignment horizontal="center" vertical="center" wrapText="1"/>
    </xf>
    <xf numFmtId="0" fontId="10" fillId="0" borderId="7" xfId="0" applyFont="1" applyBorder="1" applyAlignment="1">
      <alignment horizontal="center" vertical="center" wrapText="1"/>
    </xf>
    <xf numFmtId="0" fontId="16" fillId="0" borderId="7" xfId="0" applyFont="1" applyBorder="1" applyAlignment="1">
      <alignment horizontal="center" vertical="center"/>
    </xf>
    <xf numFmtId="166" fontId="1" fillId="0" borderId="7" xfId="0" applyNumberFormat="1" applyFont="1" applyBorder="1" applyAlignment="1">
      <alignment horizontal="center" vertical="center" wrapText="1"/>
    </xf>
    <xf numFmtId="164" fontId="1" fillId="0" borderId="7" xfId="0" applyNumberFormat="1" applyFont="1" applyBorder="1" applyAlignment="1">
      <alignment horizontal="center" vertical="center" wrapText="1"/>
    </xf>
    <xf numFmtId="164" fontId="3" fillId="0" borderId="7" xfId="0" applyNumberFormat="1" applyFont="1" applyBorder="1" applyAlignment="1">
      <alignment horizontal="center" vertical="center" wrapText="1"/>
    </xf>
    <xf numFmtId="0" fontId="1" fillId="0" borderId="10"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1" fillId="0" borderId="2"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166" fontId="1" fillId="0" borderId="15" xfId="0" applyNumberFormat="1" applyFont="1" applyBorder="1" applyAlignment="1">
      <alignment horizontal="center" vertical="center" wrapText="1"/>
    </xf>
    <xf numFmtId="166" fontId="1" fillId="0" borderId="21" xfId="0" applyNumberFormat="1" applyFont="1" applyBorder="1" applyAlignment="1">
      <alignment horizontal="center" vertical="center" wrapText="1"/>
    </xf>
    <xf numFmtId="166" fontId="1" fillId="0" borderId="8" xfId="0" applyNumberFormat="1" applyFont="1" applyBorder="1" applyAlignment="1">
      <alignment horizontal="center" vertical="center" wrapText="1"/>
    </xf>
    <xf numFmtId="0" fontId="1" fillId="0" borderId="15" xfId="0" applyFont="1" applyBorder="1" applyAlignment="1">
      <alignment horizontal="center" vertical="center" wrapText="1"/>
    </xf>
    <xf numFmtId="0" fontId="1" fillId="0" borderId="21" xfId="0" applyFont="1" applyBorder="1" applyAlignment="1">
      <alignment horizontal="center" vertical="center" wrapText="1"/>
    </xf>
    <xf numFmtId="164" fontId="1" fillId="0" borderId="10" xfId="0" applyNumberFormat="1" applyFont="1" applyBorder="1" applyAlignment="1">
      <alignment horizontal="center" vertical="center" wrapText="1"/>
    </xf>
    <xf numFmtId="164" fontId="1" fillId="0" borderId="11" xfId="0" applyNumberFormat="1" applyFont="1" applyBorder="1" applyAlignment="1">
      <alignment horizontal="center" vertical="center" wrapText="1"/>
    </xf>
    <xf numFmtId="164" fontId="1" fillId="0" borderId="1" xfId="0" applyNumberFormat="1" applyFont="1" applyBorder="1" applyAlignment="1">
      <alignment horizontal="center" vertical="center" wrapText="1"/>
    </xf>
    <xf numFmtId="164" fontId="1" fillId="0" borderId="2" xfId="0" applyNumberFormat="1" applyFont="1" applyBorder="1" applyAlignment="1">
      <alignment horizontal="center" vertical="center" wrapText="1"/>
    </xf>
    <xf numFmtId="164" fontId="1" fillId="0" borderId="12" xfId="0" applyNumberFormat="1" applyFont="1" applyBorder="1" applyAlignment="1">
      <alignment horizontal="center" vertical="center" wrapText="1"/>
    </xf>
    <xf numFmtId="164" fontId="1" fillId="0" borderId="14" xfId="0" applyNumberFormat="1" applyFont="1" applyBorder="1" applyAlignment="1">
      <alignment horizontal="center" vertical="center" wrapText="1"/>
    </xf>
    <xf numFmtId="164" fontId="3" fillId="0" borderId="10" xfId="0" applyNumberFormat="1" applyFont="1" applyBorder="1" applyAlignment="1">
      <alignment horizontal="center" vertical="center" wrapText="1"/>
    </xf>
    <xf numFmtId="164" fontId="3" fillId="0" borderId="11" xfId="0" applyNumberFormat="1" applyFont="1" applyBorder="1" applyAlignment="1">
      <alignment horizontal="center" vertical="center" wrapText="1"/>
    </xf>
    <xf numFmtId="164" fontId="3" fillId="0" borderId="1" xfId="0" applyNumberFormat="1" applyFont="1" applyBorder="1" applyAlignment="1">
      <alignment horizontal="center" vertical="center" wrapText="1"/>
    </xf>
    <xf numFmtId="164" fontId="3" fillId="0" borderId="2" xfId="0" applyNumberFormat="1" applyFont="1" applyBorder="1" applyAlignment="1">
      <alignment horizontal="center" vertical="center" wrapText="1"/>
    </xf>
    <xf numFmtId="164" fontId="3" fillId="0" borderId="12" xfId="0" applyNumberFormat="1" applyFont="1" applyBorder="1" applyAlignment="1">
      <alignment horizontal="center" vertical="center" wrapText="1"/>
    </xf>
    <xf numFmtId="164" fontId="3" fillId="0" borderId="14" xfId="0" applyNumberFormat="1" applyFont="1" applyBorder="1" applyAlignment="1">
      <alignment horizontal="center" vertical="center" wrapText="1"/>
    </xf>
    <xf numFmtId="0" fontId="3" fillId="0" borderId="7" xfId="0" applyFont="1" applyBorder="1" applyAlignment="1">
      <alignment horizontal="center" vertical="center"/>
    </xf>
    <xf numFmtId="164" fontId="3" fillId="2" borderId="7" xfId="0" applyNumberFormat="1" applyFont="1" applyFill="1" applyBorder="1" applyAlignment="1">
      <alignment horizontal="center" vertical="center" wrapText="1"/>
    </xf>
    <xf numFmtId="0" fontId="15" fillId="0" borderId="7" xfId="0" applyFont="1" applyBorder="1" applyAlignment="1">
      <alignment horizontal="right" vertical="center" wrapText="1"/>
    </xf>
    <xf numFmtId="0" fontId="16" fillId="0" borderId="7" xfId="0" applyFont="1" applyBorder="1" applyAlignment="1">
      <alignment horizontal="center" vertical="center" wrapText="1"/>
    </xf>
    <xf numFmtId="0" fontId="16" fillId="0" borderId="7" xfId="0" applyFont="1" applyBorder="1" applyAlignment="1">
      <alignment horizontal="left" vertical="center" wrapText="1"/>
    </xf>
    <xf numFmtId="166" fontId="16" fillId="0" borderId="7" xfId="0" applyNumberFormat="1" applyFont="1" applyBorder="1" applyAlignment="1">
      <alignment horizontal="center" vertical="center" wrapText="1"/>
    </xf>
    <xf numFmtId="164" fontId="16" fillId="0" borderId="7" xfId="0" applyNumberFormat="1" applyFont="1" applyBorder="1" applyAlignment="1">
      <alignment horizontal="center" vertical="center" wrapText="1"/>
    </xf>
    <xf numFmtId="1" fontId="1" fillId="0" borderId="7" xfId="0" applyNumberFormat="1" applyFont="1" applyBorder="1" applyAlignment="1">
      <alignment horizontal="center" vertical="center" wrapText="1"/>
    </xf>
    <xf numFmtId="0" fontId="1" fillId="0" borderId="10" xfId="0" applyFont="1" applyBorder="1" applyAlignment="1">
      <alignment horizontal="left" vertical="center" wrapText="1"/>
    </xf>
    <xf numFmtId="0" fontId="1" fillId="0" borderId="9" xfId="0" applyFont="1" applyBorder="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1" fillId="0" borderId="14" xfId="0" applyFont="1" applyBorder="1" applyAlignment="1">
      <alignment horizontal="left" vertical="center" wrapText="1"/>
    </xf>
    <xf numFmtId="0" fontId="3" fillId="0" borderId="7" xfId="0" applyFont="1" applyBorder="1" applyAlignment="1">
      <alignment horizontal="right" vertical="center" wrapText="1"/>
    </xf>
    <xf numFmtId="164" fontId="17" fillId="0" borderId="7" xfId="0" applyNumberFormat="1" applyFont="1" applyBorder="1" applyAlignment="1">
      <alignment horizontal="center" vertical="center" wrapText="1"/>
    </xf>
    <xf numFmtId="0" fontId="16" fillId="0" borderId="9" xfId="0" applyFont="1" applyBorder="1" applyAlignment="1">
      <alignment horizontal="left" vertical="center" wrapText="1"/>
    </xf>
    <xf numFmtId="0" fontId="16" fillId="0" borderId="0" xfId="0" applyFont="1" applyAlignment="1">
      <alignment horizontal="left" vertical="center" wrapText="1"/>
    </xf>
    <xf numFmtId="0" fontId="28" fillId="0" borderId="10" xfId="0" applyFont="1" applyBorder="1" applyAlignment="1">
      <alignment horizontal="left" vertical="center" wrapText="1"/>
    </xf>
    <xf numFmtId="0" fontId="28" fillId="0" borderId="9" xfId="0" applyFont="1" applyBorder="1" applyAlignment="1">
      <alignment horizontal="left" vertical="center" wrapText="1"/>
    </xf>
    <xf numFmtId="0" fontId="28" fillId="0" borderId="11" xfId="0" applyFont="1" applyBorder="1" applyAlignment="1">
      <alignment horizontal="left" vertical="center" wrapText="1"/>
    </xf>
    <xf numFmtId="0" fontId="28" fillId="0" borderId="1" xfId="0" applyFont="1" applyBorder="1" applyAlignment="1">
      <alignment horizontal="left" vertical="center" wrapText="1"/>
    </xf>
    <xf numFmtId="0" fontId="28" fillId="0" borderId="0" xfId="0" applyFont="1" applyAlignment="1">
      <alignment horizontal="left" vertical="center" wrapText="1"/>
    </xf>
    <xf numFmtId="0" fontId="28" fillId="0" borderId="2" xfId="0" applyFont="1" applyBorder="1" applyAlignment="1">
      <alignment horizontal="left" vertical="center" wrapText="1"/>
    </xf>
    <xf numFmtId="0" fontId="28" fillId="0" borderId="12" xfId="0" applyFont="1" applyBorder="1" applyAlignment="1">
      <alignment horizontal="left" vertical="center" wrapText="1"/>
    </xf>
    <xf numFmtId="0" fontId="28" fillId="0" borderId="13" xfId="0" applyFont="1" applyBorder="1" applyAlignment="1">
      <alignment horizontal="left" vertical="center" wrapText="1"/>
    </xf>
    <xf numFmtId="0" fontId="28" fillId="0" borderId="14" xfId="0" applyFont="1" applyBorder="1" applyAlignment="1">
      <alignment horizontal="left" vertical="center" wrapText="1"/>
    </xf>
    <xf numFmtId="164" fontId="3" fillId="6" borderId="10" xfId="0" applyNumberFormat="1" applyFont="1" applyFill="1" applyBorder="1" applyAlignment="1">
      <alignment horizontal="center" vertical="center" wrapText="1"/>
    </xf>
    <xf numFmtId="164" fontId="3" fillId="6" borderId="11" xfId="0" applyNumberFormat="1" applyFont="1" applyFill="1" applyBorder="1" applyAlignment="1">
      <alignment horizontal="center" vertical="center" wrapText="1"/>
    </xf>
    <xf numFmtId="164" fontId="3" fillId="6" borderId="1" xfId="0" applyNumberFormat="1" applyFont="1" applyFill="1" applyBorder="1" applyAlignment="1">
      <alignment horizontal="center" vertical="center" wrapText="1"/>
    </xf>
    <xf numFmtId="164" fontId="3" fillId="6" borderId="2" xfId="0" applyNumberFormat="1" applyFont="1" applyFill="1" applyBorder="1" applyAlignment="1">
      <alignment horizontal="center" vertical="center" wrapText="1"/>
    </xf>
    <xf numFmtId="164" fontId="3" fillId="6" borderId="12" xfId="0" applyNumberFormat="1" applyFont="1" applyFill="1" applyBorder="1" applyAlignment="1">
      <alignment horizontal="center" vertical="center" wrapText="1"/>
    </xf>
    <xf numFmtId="164" fontId="3" fillId="6" borderId="14" xfId="0" applyNumberFormat="1" applyFont="1" applyFill="1" applyBorder="1" applyAlignment="1">
      <alignment horizontal="center" vertical="center" wrapText="1"/>
    </xf>
    <xf numFmtId="164" fontId="18" fillId="0" borderId="7" xfId="0" applyNumberFormat="1" applyFont="1" applyBorder="1" applyAlignment="1">
      <alignment horizontal="center" vertical="center" wrapText="1"/>
    </xf>
    <xf numFmtId="0" fontId="24" fillId="0" borderId="7" xfId="0" applyFont="1" applyBorder="1" applyAlignment="1">
      <alignment horizontal="left" vertical="center"/>
    </xf>
    <xf numFmtId="0" fontId="11" fillId="0" borderId="7" xfId="0" applyFont="1" applyBorder="1" applyAlignment="1">
      <alignment horizontal="center" vertical="center"/>
    </xf>
    <xf numFmtId="0" fontId="1" fillId="0" borderId="1" xfId="0" applyFont="1" applyBorder="1" applyAlignment="1">
      <alignment horizontal="left" vertical="center"/>
    </xf>
    <xf numFmtId="0" fontId="1" fillId="0" borderId="0" xfId="0" applyFont="1" applyAlignment="1">
      <alignment horizontal="left"/>
    </xf>
    <xf numFmtId="0" fontId="1" fillId="0" borderId="2" xfId="0" applyFont="1" applyBorder="1" applyAlignment="1">
      <alignment horizontal="left"/>
    </xf>
    <xf numFmtId="0" fontId="0" fillId="0" borderId="5" xfId="0" applyBorder="1" applyAlignment="1">
      <alignment horizontal="center"/>
    </xf>
    <xf numFmtId="0" fontId="1" fillId="0" borderId="0" xfId="0" applyFont="1" applyAlignment="1">
      <alignment horizontal="center"/>
    </xf>
    <xf numFmtId="0" fontId="0" fillId="0" borderId="0" xfId="0" applyAlignment="1">
      <alignment horizontal="center" vertical="center"/>
    </xf>
    <xf numFmtId="0" fontId="1" fillId="0" borderId="8" xfId="0" applyFont="1" applyBorder="1" applyAlignment="1">
      <alignment horizontal="left" wrapText="1"/>
    </xf>
    <xf numFmtId="0" fontId="1" fillId="0" borderId="7" xfId="0" applyFont="1" applyBorder="1" applyAlignment="1">
      <alignment horizontal="left" wrapText="1"/>
    </xf>
    <xf numFmtId="0" fontId="3" fillId="0" borderId="0" xfId="0" applyFont="1" applyAlignment="1">
      <alignment horizontal="left" vertical="center"/>
    </xf>
    <xf numFmtId="0" fontId="15" fillId="2" borderId="9" xfId="0" applyFont="1" applyFill="1" applyBorder="1" applyAlignment="1">
      <alignment horizontal="right" vertical="center" wrapText="1"/>
    </xf>
    <xf numFmtId="0" fontId="15" fillId="2" borderId="11" xfId="0" applyFont="1" applyFill="1" applyBorder="1" applyAlignment="1">
      <alignment horizontal="right" vertical="center" wrapText="1"/>
    </xf>
    <xf numFmtId="0" fontId="15" fillId="2" borderId="13" xfId="0" applyFont="1" applyFill="1" applyBorder="1" applyAlignment="1">
      <alignment horizontal="right" vertical="center" wrapText="1"/>
    </xf>
    <xf numFmtId="0" fontId="15" fillId="2" borderId="14" xfId="0" applyFont="1" applyFill="1" applyBorder="1" applyAlignment="1">
      <alignment horizontal="right" vertical="center" wrapText="1"/>
    </xf>
    <xf numFmtId="0" fontId="15" fillId="0" borderId="10"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12" xfId="0" applyFont="1" applyBorder="1" applyAlignment="1">
      <alignment horizontal="center" vertical="center" wrapText="1"/>
    </xf>
    <xf numFmtId="0" fontId="15" fillId="0" borderId="13" xfId="0" applyFont="1" applyBorder="1" applyAlignment="1">
      <alignment horizontal="center" vertical="center" wrapText="1"/>
    </xf>
    <xf numFmtId="0" fontId="19" fillId="4" borderId="9" xfId="0" applyFont="1" applyFill="1" applyBorder="1" applyAlignment="1">
      <alignment horizontal="center"/>
    </xf>
    <xf numFmtId="0" fontId="0" fillId="0" borderId="0" xfId="0" applyAlignment="1">
      <alignment horizontal="left"/>
    </xf>
    <xf numFmtId="1" fontId="11" fillId="0" borderId="0" xfId="0" applyNumberFormat="1" applyFont="1" applyAlignment="1">
      <alignment horizontal="left" vertical="center"/>
    </xf>
    <xf numFmtId="0" fontId="3" fillId="0" borderId="7" xfId="0" applyFont="1" applyBorder="1" applyAlignment="1">
      <alignment horizontal="left" vertical="center" wrapText="1"/>
    </xf>
    <xf numFmtId="49" fontId="1" fillId="0" borderId="0" xfId="0" applyNumberFormat="1" applyFont="1" applyAlignment="1">
      <alignment horizontal="left"/>
    </xf>
    <xf numFmtId="49" fontId="1" fillId="0" borderId="2" xfId="0" applyNumberFormat="1" applyFont="1" applyBorder="1" applyAlignment="1">
      <alignment horizontal="left"/>
    </xf>
    <xf numFmtId="0" fontId="46" fillId="7" borderId="7" xfId="0" applyFont="1" applyFill="1" applyBorder="1" applyAlignment="1">
      <alignment horizontal="center" vertical="center" wrapText="1"/>
    </xf>
    <xf numFmtId="44" fontId="46" fillId="4" borderId="15" xfId="0" applyNumberFormat="1" applyFont="1" applyFill="1" applyBorder="1" applyAlignment="1">
      <alignment horizontal="center" vertical="center" wrapText="1"/>
    </xf>
    <xf numFmtId="44" fontId="46" fillId="4" borderId="8" xfId="0" applyNumberFormat="1" applyFont="1" applyFill="1" applyBorder="1" applyAlignment="1">
      <alignment horizontal="center" vertical="center" wrapText="1"/>
    </xf>
    <xf numFmtId="0" fontId="42" fillId="2" borderId="0" xfId="0" applyFont="1" applyFill="1" applyAlignment="1">
      <alignment horizontal="left" vertical="center" wrapText="1"/>
    </xf>
    <xf numFmtId="0" fontId="21" fillId="2" borderId="0" xfId="0" applyFont="1" applyFill="1" applyAlignment="1">
      <alignment horizontal="center" vertical="center"/>
    </xf>
    <xf numFmtId="0" fontId="34" fillId="5" borderId="33" xfId="0" applyFont="1" applyFill="1" applyBorder="1" applyAlignment="1">
      <alignment horizontal="center" vertical="center"/>
    </xf>
    <xf numFmtId="0" fontId="34" fillId="5" borderId="34" xfId="0" applyFont="1" applyFill="1" applyBorder="1" applyAlignment="1">
      <alignment horizontal="center" vertical="center"/>
    </xf>
    <xf numFmtId="0" fontId="34" fillId="5" borderId="35" xfId="0" applyFont="1" applyFill="1" applyBorder="1" applyAlignment="1">
      <alignment horizontal="center" vertical="center"/>
    </xf>
    <xf numFmtId="0" fontId="20" fillId="4" borderId="42" xfId="0" applyFont="1" applyFill="1" applyBorder="1" applyAlignment="1">
      <alignment horizontal="center" vertical="center"/>
    </xf>
    <xf numFmtId="0" fontId="20" fillId="4" borderId="8" xfId="0" applyFont="1" applyFill="1" applyBorder="1" applyAlignment="1">
      <alignment horizontal="center" vertical="center"/>
    </xf>
    <xf numFmtId="0" fontId="31" fillId="0" borderId="0" xfId="0" applyFont="1" applyAlignment="1">
      <alignment horizontal="left" vertical="center" wrapText="1"/>
    </xf>
    <xf numFmtId="0" fontId="31" fillId="0" borderId="0" xfId="0" applyFont="1" applyAlignment="1">
      <alignment horizontal="center" vertical="center" wrapText="1"/>
    </xf>
    <xf numFmtId="0" fontId="36" fillId="0" borderId="0" xfId="0" applyFont="1" applyAlignment="1">
      <alignment horizontal="left" vertical="center" wrapText="1"/>
    </xf>
    <xf numFmtId="0" fontId="34" fillId="5" borderId="36" xfId="0" applyFont="1" applyFill="1" applyBorder="1" applyAlignment="1">
      <alignment horizontal="center" vertical="center"/>
    </xf>
    <xf numFmtId="0" fontId="34" fillId="5" borderId="37" xfId="0" applyFont="1" applyFill="1" applyBorder="1" applyAlignment="1">
      <alignment horizontal="center" vertical="center"/>
    </xf>
    <xf numFmtId="0" fontId="34" fillId="5" borderId="38" xfId="0" applyFont="1" applyFill="1" applyBorder="1" applyAlignment="1">
      <alignment horizontal="center" vertical="center"/>
    </xf>
    <xf numFmtId="0" fontId="0" fillId="0" borderId="18" xfId="0" applyBorder="1" applyAlignment="1">
      <alignment horizontal="left" vertical="center"/>
    </xf>
    <xf numFmtId="0" fontId="0" fillId="0" borderId="7" xfId="0" applyBorder="1" applyAlignment="1">
      <alignment horizontal="left" vertical="center"/>
    </xf>
    <xf numFmtId="0" fontId="0" fillId="0" borderId="44" xfId="0" applyBorder="1" applyAlignment="1">
      <alignment horizontal="left" vertical="center"/>
    </xf>
    <xf numFmtId="0" fontId="0" fillId="0" borderId="45" xfId="0" applyBorder="1" applyAlignment="1">
      <alignment horizontal="left" vertical="center"/>
    </xf>
    <xf numFmtId="0" fontId="0" fillId="0" borderId="0" xfId="0" applyAlignment="1">
      <alignment horizontal="left" vertical="center"/>
    </xf>
    <xf numFmtId="0" fontId="0" fillId="0" borderId="26" xfId="0" applyBorder="1" applyAlignment="1">
      <alignment horizontal="left" vertical="center"/>
    </xf>
    <xf numFmtId="0" fontId="3" fillId="4" borderId="40" xfId="0" applyFont="1" applyFill="1" applyBorder="1" applyAlignment="1">
      <alignment horizontal="center" vertical="center"/>
    </xf>
    <xf numFmtId="0" fontId="3" fillId="4" borderId="39" xfId="0" applyFont="1" applyFill="1" applyBorder="1" applyAlignment="1">
      <alignment horizontal="center" vertical="center"/>
    </xf>
    <xf numFmtId="0" fontId="3" fillId="4" borderId="41" xfId="0" applyFont="1" applyFill="1" applyBorder="1" applyAlignment="1">
      <alignment horizontal="center" vertical="center"/>
    </xf>
    <xf numFmtId="0" fontId="34" fillId="5" borderId="29" xfId="0" applyFont="1" applyFill="1" applyBorder="1" applyAlignment="1">
      <alignment horizontal="center" vertical="center"/>
    </xf>
    <xf numFmtId="0" fontId="34" fillId="5" borderId="29" xfId="0" applyFont="1" applyFill="1" applyBorder="1" applyAlignment="1">
      <alignment horizontal="center" vertical="center" wrapText="1"/>
    </xf>
    <xf numFmtId="0" fontId="0" fillId="0" borderId="0" xfId="0" applyAlignment="1">
      <alignment horizontal="left" vertical="center" wrapText="1"/>
    </xf>
    <xf numFmtId="0" fontId="21" fillId="0" borderId="25" xfId="0" applyFont="1" applyBorder="1" applyAlignment="1">
      <alignment horizontal="left" vertical="center"/>
    </xf>
    <xf numFmtId="0" fontId="21" fillId="0" borderId="0" xfId="0" applyFont="1" applyAlignment="1">
      <alignment horizontal="left" vertical="center"/>
    </xf>
    <xf numFmtId="0" fontId="21" fillId="0" borderId="26" xfId="0" applyFont="1" applyBorder="1" applyAlignment="1">
      <alignment horizontal="left" vertical="center"/>
    </xf>
    <xf numFmtId="0" fontId="35" fillId="0" borderId="25" xfId="0" applyFont="1" applyBorder="1" applyAlignment="1">
      <alignment horizontal="left" vertical="center"/>
    </xf>
    <xf numFmtId="0" fontId="35" fillId="0" borderId="0" xfId="0" applyFont="1" applyAlignment="1">
      <alignment horizontal="left" vertical="center"/>
    </xf>
    <xf numFmtId="0" fontId="35" fillId="0" borderId="26" xfId="0" applyFont="1" applyBorder="1" applyAlignment="1">
      <alignment horizontal="left" vertical="center"/>
    </xf>
    <xf numFmtId="0" fontId="36" fillId="0" borderId="0" xfId="0" applyFont="1" applyAlignment="1">
      <alignment horizontal="center" vertical="center"/>
    </xf>
    <xf numFmtId="49" fontId="35" fillId="0" borderId="0" xfId="0" applyNumberFormat="1" applyFont="1" applyAlignment="1">
      <alignment horizontal="left" vertical="center"/>
    </xf>
    <xf numFmtId="49" fontId="35" fillId="0" borderId="26" xfId="0" applyNumberFormat="1" applyFont="1" applyBorder="1" applyAlignment="1">
      <alignment horizontal="left" vertical="center"/>
    </xf>
    <xf numFmtId="0" fontId="0" fillId="0" borderId="5" xfId="0" applyBorder="1" applyAlignment="1">
      <alignment horizontal="center" vertical="center"/>
    </xf>
    <xf numFmtId="0" fontId="41" fillId="2" borderId="31" xfId="0" applyFont="1" applyFill="1" applyBorder="1" applyAlignment="1">
      <alignment horizontal="center" vertical="center"/>
    </xf>
    <xf numFmtId="0" fontId="14" fillId="0" borderId="22" xfId="0" applyFont="1" applyBorder="1" applyAlignment="1">
      <alignment horizontal="center" vertical="center"/>
    </xf>
    <xf numFmtId="0" fontId="14" fillId="0" borderId="25" xfId="0" applyFont="1" applyBorder="1" applyAlignment="1">
      <alignment horizontal="center" vertical="center"/>
    </xf>
    <xf numFmtId="0" fontId="14" fillId="0" borderId="23" xfId="0" applyFont="1" applyBorder="1" applyAlignment="1">
      <alignment horizontal="center" vertical="center"/>
    </xf>
    <xf numFmtId="0" fontId="14" fillId="0" borderId="13" xfId="0" applyFont="1" applyBorder="1" applyAlignment="1">
      <alignment horizontal="center" vertical="center"/>
    </xf>
    <xf numFmtId="0" fontId="14" fillId="0" borderId="0" xfId="0" applyFont="1" applyAlignment="1">
      <alignment horizontal="center" vertical="center"/>
    </xf>
    <xf numFmtId="0" fontId="14" fillId="0" borderId="9" xfId="0" applyFont="1" applyBorder="1" applyAlignment="1">
      <alignment horizontal="center" vertical="center"/>
    </xf>
    <xf numFmtId="0" fontId="49" fillId="8" borderId="7" xfId="0" applyFont="1" applyFill="1" applyBorder="1" applyAlignment="1">
      <alignment horizontal="center" vertical="center"/>
    </xf>
    <xf numFmtId="0" fontId="46" fillId="7" borderId="15" xfId="0" applyFont="1" applyFill="1" applyBorder="1" applyAlignment="1">
      <alignment horizontal="center" vertical="center" wrapText="1"/>
    </xf>
    <xf numFmtId="0" fontId="46" fillId="7" borderId="21" xfId="0" applyFont="1" applyFill="1" applyBorder="1" applyAlignment="1">
      <alignment horizontal="center" vertical="center" wrapText="1"/>
    </xf>
    <xf numFmtId="0" fontId="46" fillId="7" borderId="8" xfId="0" applyFont="1" applyFill="1" applyBorder="1" applyAlignment="1">
      <alignment horizontal="center" vertical="center" wrapText="1"/>
    </xf>
    <xf numFmtId="0" fontId="44" fillId="0" borderId="25" xfId="0" applyFont="1" applyBorder="1" applyAlignment="1">
      <alignment horizontal="center" vertical="center" wrapText="1"/>
    </xf>
    <xf numFmtId="0" fontId="44" fillId="0" borderId="0" xfId="0" applyFont="1" applyAlignment="1">
      <alignment horizontal="center" vertical="center" wrapText="1"/>
    </xf>
    <xf numFmtId="0" fontId="44" fillId="0" borderId="47" xfId="0" applyFont="1" applyBorder="1" applyAlignment="1">
      <alignment horizontal="center" vertical="center" wrapText="1"/>
    </xf>
    <xf numFmtId="0" fontId="20" fillId="0" borderId="25" xfId="0" applyFont="1" applyBorder="1" applyAlignment="1">
      <alignment horizontal="center" vertical="center"/>
    </xf>
    <xf numFmtId="0" fontId="20" fillId="0" borderId="0" xfId="0" applyFont="1" applyAlignment="1">
      <alignment horizontal="center" vertical="center"/>
    </xf>
    <xf numFmtId="0" fontId="14" fillId="0" borderId="24" xfId="0" applyFont="1" applyBorder="1" applyAlignment="1">
      <alignment horizontal="center" vertical="center"/>
    </xf>
    <xf numFmtId="0" fontId="14" fillId="0" borderId="32" xfId="0" applyFont="1" applyBorder="1" applyAlignment="1">
      <alignment horizontal="center" vertical="center"/>
    </xf>
    <xf numFmtId="0" fontId="14" fillId="0" borderId="30"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cap="all" spc="120" normalizeH="0" baseline="0">
                <a:solidFill>
                  <a:schemeClr val="accent5">
                    <a:lumMod val="75000"/>
                  </a:schemeClr>
                </a:solidFill>
                <a:latin typeface="Times New Roman" panose="02020603050405020304" pitchFamily="18" charset="0"/>
                <a:ea typeface="+mn-ea"/>
                <a:cs typeface="Times New Roman" panose="02020603050405020304" pitchFamily="18" charset="0"/>
              </a:defRPr>
            </a:pPr>
            <a:r>
              <a:rPr lang="en-IN" sz="1200" b="1" i="0" u="none" strike="noStrike" kern="1200" cap="all" spc="120" normalizeH="0" baseline="0">
                <a:solidFill>
                  <a:schemeClr val="accent5">
                    <a:lumMod val="75000"/>
                  </a:schemeClr>
                </a:solidFill>
                <a:latin typeface="Times New Roman" panose="02020603050405020304" pitchFamily="18" charset="0"/>
                <a:cs typeface="Times New Roman" panose="02020603050405020304" pitchFamily="18" charset="0"/>
              </a:rPr>
              <a:t>Pridicted Monthly Generation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cap="all" spc="120" normalizeH="0" baseline="0">
              <a:solidFill>
                <a:schemeClr val="accent5">
                  <a:lumMod val="7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errBars>
            <c:errBarType val="both"/>
            <c:errValType val="stdErr"/>
            <c:noEndCap val="0"/>
            <c:spPr>
              <a:noFill/>
              <a:ln w="9525">
                <a:solidFill>
                  <a:schemeClr val="tx1">
                    <a:lumMod val="65000"/>
                    <a:lumOff val="35000"/>
                  </a:schemeClr>
                </a:solidFill>
                <a:round/>
              </a:ln>
              <a:effectLst/>
            </c:spPr>
          </c:errBars>
          <c:cat>
            <c:strRef>
              <c:f>DATA!$I$2:$I$14</c:f>
              <c:strCache>
                <c:ptCount val="13"/>
                <c:pt idx="0">
                  <c:v>Jan</c:v>
                </c:pt>
                <c:pt idx="1">
                  <c:v>Jan</c:v>
                </c:pt>
                <c:pt idx="2">
                  <c:v>Fab</c:v>
                </c:pt>
                <c:pt idx="3">
                  <c:v>March</c:v>
                </c:pt>
                <c:pt idx="4">
                  <c:v>April</c:v>
                </c:pt>
                <c:pt idx="5">
                  <c:v>May</c:v>
                </c:pt>
                <c:pt idx="6">
                  <c:v>Jun</c:v>
                </c:pt>
                <c:pt idx="7">
                  <c:v>July</c:v>
                </c:pt>
                <c:pt idx="8">
                  <c:v>Aug</c:v>
                </c:pt>
                <c:pt idx="9">
                  <c:v>Sep</c:v>
                </c:pt>
                <c:pt idx="10">
                  <c:v>Oct</c:v>
                </c:pt>
                <c:pt idx="11">
                  <c:v>Nov</c:v>
                </c:pt>
                <c:pt idx="12">
                  <c:v>Dec</c:v>
                </c:pt>
              </c:strCache>
            </c:strRef>
          </c:cat>
          <c:val>
            <c:numRef>
              <c:f>DATA!$K$2:$K$14</c:f>
              <c:numCache>
                <c:formatCode>0</c:formatCode>
                <c:ptCount val="13"/>
                <c:pt idx="0">
                  <c:v>492.9</c:v>
                </c:pt>
                <c:pt idx="1">
                  <c:v>492.9</c:v>
                </c:pt>
                <c:pt idx="2">
                  <c:v>445.19999999999993</c:v>
                </c:pt>
                <c:pt idx="3">
                  <c:v>492.9</c:v>
                </c:pt>
                <c:pt idx="4">
                  <c:v>476.99999999999994</c:v>
                </c:pt>
                <c:pt idx="5">
                  <c:v>492.9</c:v>
                </c:pt>
                <c:pt idx="6">
                  <c:v>476.99999999999994</c:v>
                </c:pt>
                <c:pt idx="7">
                  <c:v>492.9</c:v>
                </c:pt>
                <c:pt idx="8">
                  <c:v>492.9</c:v>
                </c:pt>
                <c:pt idx="9">
                  <c:v>476.99999999999994</c:v>
                </c:pt>
                <c:pt idx="10">
                  <c:v>492.9</c:v>
                </c:pt>
                <c:pt idx="11">
                  <c:v>476.99999999999994</c:v>
                </c:pt>
                <c:pt idx="12">
                  <c:v>492.9</c:v>
                </c:pt>
              </c:numCache>
            </c:numRef>
          </c:val>
          <c:extLst>
            <c:ext xmlns:c16="http://schemas.microsoft.com/office/drawing/2014/chart" uri="{C3380CC4-5D6E-409C-BE32-E72D297353CC}">
              <c16:uniqueId val="{00000000-3C34-48FE-B000-2A47F3BF1F3C}"/>
            </c:ext>
          </c:extLst>
        </c:ser>
        <c:dLbls>
          <c:dLblPos val="outEnd"/>
          <c:showLegendKey val="0"/>
          <c:showVal val="1"/>
          <c:showCatName val="0"/>
          <c:showSerName val="0"/>
          <c:showPercent val="0"/>
          <c:showBubbleSize val="0"/>
        </c:dLbls>
        <c:gapWidth val="444"/>
        <c:overlap val="-90"/>
        <c:axId val="623499088"/>
        <c:axId val="642167912"/>
      </c:barChart>
      <c:catAx>
        <c:axId val="6234990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rgbClr val="7030A0"/>
                </a:solidFill>
                <a:latin typeface="+mn-lt"/>
                <a:ea typeface="+mn-ea"/>
                <a:cs typeface="+mn-cs"/>
              </a:defRPr>
            </a:pPr>
            <a:endParaRPr lang="en-US"/>
          </a:p>
        </c:txPr>
        <c:crossAx val="642167912"/>
        <c:crosses val="autoZero"/>
        <c:auto val="1"/>
        <c:lblAlgn val="ctr"/>
        <c:lblOffset val="100"/>
        <c:noMultiLvlLbl val="0"/>
      </c:catAx>
      <c:valAx>
        <c:axId val="6421679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crossAx val="62349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rnd"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cap="all" spc="120" normalizeH="0" baseline="0">
                <a:solidFill>
                  <a:schemeClr val="accent5">
                    <a:lumMod val="75000"/>
                  </a:schemeClr>
                </a:solidFill>
                <a:latin typeface="Times New Roman" panose="02020603050405020304" pitchFamily="18" charset="0"/>
                <a:ea typeface="+mn-ea"/>
                <a:cs typeface="Times New Roman" panose="02020603050405020304" pitchFamily="18" charset="0"/>
              </a:defRPr>
            </a:pPr>
            <a:r>
              <a:rPr lang="en-IN" sz="1200" b="1" i="0" u="none" strike="noStrike" kern="1200" cap="all" spc="120" normalizeH="0" baseline="0">
                <a:solidFill>
                  <a:schemeClr val="accent5">
                    <a:lumMod val="75000"/>
                  </a:schemeClr>
                </a:solidFill>
                <a:latin typeface="Times New Roman" panose="02020603050405020304" pitchFamily="18" charset="0"/>
                <a:cs typeface="Times New Roman" panose="02020603050405020304" pitchFamily="18" charset="0"/>
              </a:rPr>
              <a:t>Pridicted Monthly Saving</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cap="all" spc="120" normalizeH="0" baseline="0">
              <a:solidFill>
                <a:schemeClr val="accent5">
                  <a:lumMod val="7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errBars>
            <c:errBarType val="both"/>
            <c:errValType val="stdErr"/>
            <c:noEndCap val="0"/>
            <c:spPr>
              <a:noFill/>
              <a:ln w="9525">
                <a:solidFill>
                  <a:schemeClr val="tx1">
                    <a:lumMod val="65000"/>
                    <a:lumOff val="35000"/>
                  </a:schemeClr>
                </a:solidFill>
                <a:round/>
              </a:ln>
              <a:effectLst/>
            </c:spPr>
          </c:errBars>
          <c:cat>
            <c:strRef>
              <c:f>DATA!$I$3:$I$14</c:f>
              <c:strCache>
                <c:ptCount val="12"/>
                <c:pt idx="0">
                  <c:v>Jan</c:v>
                </c:pt>
                <c:pt idx="1">
                  <c:v>Fab</c:v>
                </c:pt>
                <c:pt idx="2">
                  <c:v>March</c:v>
                </c:pt>
                <c:pt idx="3">
                  <c:v>April</c:v>
                </c:pt>
                <c:pt idx="4">
                  <c:v>May</c:v>
                </c:pt>
                <c:pt idx="5">
                  <c:v>Jun</c:v>
                </c:pt>
                <c:pt idx="6">
                  <c:v>July</c:v>
                </c:pt>
                <c:pt idx="7">
                  <c:v>Aug</c:v>
                </c:pt>
                <c:pt idx="8">
                  <c:v>Sep</c:v>
                </c:pt>
                <c:pt idx="9">
                  <c:v>Oct</c:v>
                </c:pt>
                <c:pt idx="10">
                  <c:v>Nov</c:v>
                </c:pt>
                <c:pt idx="11">
                  <c:v>Dec</c:v>
                </c:pt>
              </c:strCache>
            </c:strRef>
          </c:cat>
          <c:val>
            <c:numRef>
              <c:f>DATA!$L$3:$L$14</c:f>
              <c:numCache>
                <c:formatCode>0</c:formatCode>
                <c:ptCount val="12"/>
                <c:pt idx="0">
                  <c:v>3943.2</c:v>
                </c:pt>
                <c:pt idx="1">
                  <c:v>3561.5999999999995</c:v>
                </c:pt>
                <c:pt idx="2">
                  <c:v>3943.2</c:v>
                </c:pt>
                <c:pt idx="3">
                  <c:v>3815.9999999999995</c:v>
                </c:pt>
                <c:pt idx="4">
                  <c:v>3943.2</c:v>
                </c:pt>
                <c:pt idx="5">
                  <c:v>3815.9999999999995</c:v>
                </c:pt>
                <c:pt idx="6">
                  <c:v>3943.2</c:v>
                </c:pt>
                <c:pt idx="7">
                  <c:v>3943.2</c:v>
                </c:pt>
                <c:pt idx="8">
                  <c:v>3815.9999999999995</c:v>
                </c:pt>
                <c:pt idx="9">
                  <c:v>3943.2</c:v>
                </c:pt>
                <c:pt idx="10">
                  <c:v>3815.9999999999995</c:v>
                </c:pt>
                <c:pt idx="11">
                  <c:v>3943.2</c:v>
                </c:pt>
              </c:numCache>
            </c:numRef>
          </c:val>
          <c:extLst>
            <c:ext xmlns:c16="http://schemas.microsoft.com/office/drawing/2014/chart" uri="{C3380CC4-5D6E-409C-BE32-E72D297353CC}">
              <c16:uniqueId val="{00000000-BE50-4508-88B7-69E618D4C7E0}"/>
            </c:ext>
          </c:extLst>
        </c:ser>
        <c:dLbls>
          <c:dLblPos val="outEnd"/>
          <c:showLegendKey val="0"/>
          <c:showVal val="1"/>
          <c:showCatName val="0"/>
          <c:showSerName val="0"/>
          <c:showPercent val="0"/>
          <c:showBubbleSize val="0"/>
        </c:dLbls>
        <c:gapWidth val="444"/>
        <c:overlap val="-90"/>
        <c:axId val="623499088"/>
        <c:axId val="642167912"/>
      </c:barChart>
      <c:catAx>
        <c:axId val="6234990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rgbClr val="7030A0"/>
                </a:solidFill>
                <a:latin typeface="+mn-lt"/>
                <a:ea typeface="+mn-ea"/>
                <a:cs typeface="+mn-cs"/>
              </a:defRPr>
            </a:pPr>
            <a:endParaRPr lang="en-US"/>
          </a:p>
        </c:txPr>
        <c:crossAx val="642167912"/>
        <c:crosses val="autoZero"/>
        <c:auto val="1"/>
        <c:lblAlgn val="ctr"/>
        <c:lblOffset val="100"/>
        <c:noMultiLvlLbl val="0"/>
      </c:catAx>
      <c:valAx>
        <c:axId val="6421679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crossAx val="62349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rnd"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28575</xdr:colOff>
      <xdr:row>6</xdr:row>
      <xdr:rowOff>76200</xdr:rowOff>
    </xdr:to>
    <xdr:sp macro="" textlink="">
      <xdr:nvSpPr>
        <xdr:cNvPr id="3" name="Rectangle 2">
          <a:extLst>
            <a:ext uri="{FF2B5EF4-FFF2-40B4-BE49-F238E27FC236}">
              <a16:creationId xmlns:a16="http://schemas.microsoft.com/office/drawing/2014/main" id="{D4394773-87BE-443F-90EF-AF3E66935D0D}"/>
            </a:ext>
          </a:extLst>
        </xdr:cNvPr>
        <xdr:cNvSpPr/>
      </xdr:nvSpPr>
      <xdr:spPr>
        <a:xfrm>
          <a:off x="0" y="0"/>
          <a:ext cx="1250950" cy="1219200"/>
        </a:xfrm>
        <a:prstGeom prst="rect">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590549</xdr:colOff>
      <xdr:row>159</xdr:row>
      <xdr:rowOff>1</xdr:rowOff>
    </xdr:from>
    <xdr:to>
      <xdr:col>9</xdr:col>
      <xdr:colOff>9524</xdr:colOff>
      <xdr:row>175</xdr:row>
      <xdr:rowOff>0</xdr:rowOff>
    </xdr:to>
    <xdr:graphicFrame macro="">
      <xdr:nvGraphicFramePr>
        <xdr:cNvPr id="4" name="Chart 3">
          <a:extLst>
            <a:ext uri="{FF2B5EF4-FFF2-40B4-BE49-F238E27FC236}">
              <a16:creationId xmlns:a16="http://schemas.microsoft.com/office/drawing/2014/main" id="{C082B74A-6656-4868-9F33-548951918C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579436</xdr:colOff>
      <xdr:row>176</xdr:row>
      <xdr:rowOff>19050</xdr:rowOff>
    </xdr:from>
    <xdr:to>
      <xdr:col>9</xdr:col>
      <xdr:colOff>15873</xdr:colOff>
      <xdr:row>192</xdr:row>
      <xdr:rowOff>19050</xdr:rowOff>
    </xdr:to>
    <xdr:graphicFrame macro="">
      <xdr:nvGraphicFramePr>
        <xdr:cNvPr id="5" name="Chart 4">
          <a:extLst>
            <a:ext uri="{FF2B5EF4-FFF2-40B4-BE49-F238E27FC236}">
              <a16:creationId xmlns:a16="http://schemas.microsoft.com/office/drawing/2014/main" id="{C4A6501E-7AA0-4F03-AA28-B3FAE57E3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190500</xdr:colOff>
      <xdr:row>241</xdr:row>
      <xdr:rowOff>150812</xdr:rowOff>
    </xdr:from>
    <xdr:to>
      <xdr:col>3</xdr:col>
      <xdr:colOff>484187</xdr:colOff>
      <xdr:row>248</xdr:row>
      <xdr:rowOff>171825</xdr:rowOff>
    </xdr:to>
    <xdr:pic>
      <xdr:nvPicPr>
        <xdr:cNvPr id="6" name="Picture 5">
          <a:extLst>
            <a:ext uri="{FF2B5EF4-FFF2-40B4-BE49-F238E27FC236}">
              <a16:creationId xmlns:a16="http://schemas.microsoft.com/office/drawing/2014/main" id="{E778C8B0-1F9B-21B5-B305-277E432A9E4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01688" y="46331187"/>
          <a:ext cx="1516062" cy="140213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249"/>
  <sheetViews>
    <sheetView showGridLines="0" topLeftCell="A21" zoomScaleNormal="100" zoomScaleSheetLayoutView="136" workbookViewId="0">
      <selection activeCell="A74" sqref="A74:XFD74"/>
    </sheetView>
  </sheetViews>
  <sheetFormatPr defaultRowHeight="15"/>
  <cols>
    <col min="10" max="10" width="9.85546875" bestFit="1" customWidth="1"/>
    <col min="11" max="11" width="12.42578125" bestFit="1" customWidth="1"/>
    <col min="12" max="12" width="13.28515625" bestFit="1" customWidth="1"/>
    <col min="13" max="13" width="12.7109375" bestFit="1" customWidth="1"/>
    <col min="17" max="17" width="22.85546875" bestFit="1" customWidth="1"/>
    <col min="24" max="24" width="13.42578125" bestFit="1" customWidth="1"/>
  </cols>
  <sheetData>
    <row r="1" spans="1:14" ht="15" customHeight="1">
      <c r="A1" s="2"/>
      <c r="B1" s="2"/>
      <c r="C1" s="120" t="s">
        <v>1</v>
      </c>
      <c r="D1" s="120"/>
      <c r="E1" s="120"/>
      <c r="F1" s="120"/>
      <c r="G1" s="120"/>
      <c r="H1" s="120"/>
      <c r="I1" s="122"/>
      <c r="J1" s="123"/>
    </row>
    <row r="2" spans="1:14" ht="15" customHeight="1">
      <c r="A2" s="2"/>
      <c r="B2" s="2"/>
      <c r="C2" s="120"/>
      <c r="D2" s="120"/>
      <c r="E2" s="120"/>
      <c r="F2" s="120"/>
      <c r="G2" s="120"/>
      <c r="H2" s="120"/>
      <c r="I2" s="123"/>
      <c r="J2" s="123"/>
    </row>
    <row r="3" spans="1:14" ht="15" customHeight="1">
      <c r="A3" s="2"/>
      <c r="B3" s="2"/>
      <c r="C3" s="120"/>
      <c r="D3" s="120"/>
      <c r="E3" s="120"/>
      <c r="F3" s="120"/>
      <c r="G3" s="120"/>
      <c r="H3" s="120"/>
      <c r="I3" s="26"/>
      <c r="J3" s="26"/>
      <c r="K3" s="2"/>
      <c r="L3" s="2"/>
    </row>
    <row r="4" spans="1:14" ht="15" customHeight="1">
      <c r="A4" s="2"/>
      <c r="B4" s="2"/>
      <c r="C4" s="120"/>
      <c r="D4" s="120"/>
      <c r="E4" s="120"/>
      <c r="F4" s="120"/>
      <c r="G4" s="120"/>
      <c r="H4" s="120"/>
      <c r="I4" s="26"/>
      <c r="J4" s="26"/>
      <c r="K4" s="2"/>
      <c r="L4" s="2"/>
    </row>
    <row r="5" spans="1:14" ht="15" customHeight="1">
      <c r="A5" s="2"/>
      <c r="B5" s="2"/>
      <c r="C5" s="120"/>
      <c r="D5" s="120"/>
      <c r="E5" s="120"/>
      <c r="F5" s="120"/>
      <c r="G5" s="120"/>
      <c r="H5" s="120"/>
      <c r="I5" s="29" t="s">
        <v>157</v>
      </c>
      <c r="J5" s="34">
        <f ca="1">TODAY()</f>
        <v>46151</v>
      </c>
      <c r="K5" s="2"/>
      <c r="L5" s="2"/>
    </row>
    <row r="6" spans="1:14" ht="15" customHeight="1">
      <c r="A6" s="2"/>
      <c r="B6" s="2"/>
      <c r="C6" s="130" t="s">
        <v>0</v>
      </c>
      <c r="D6" s="130"/>
      <c r="E6" s="130"/>
      <c r="F6" s="130"/>
      <c r="G6" s="130"/>
      <c r="H6" s="130"/>
      <c r="I6" s="27"/>
      <c r="J6" s="28"/>
      <c r="K6" s="2"/>
      <c r="L6" s="106"/>
      <c r="M6" s="106"/>
      <c r="N6" s="106"/>
    </row>
    <row r="7" spans="1:14" ht="15.75" customHeight="1" thickBot="1">
      <c r="A7" s="121" t="s">
        <v>183</v>
      </c>
      <c r="B7" s="121"/>
      <c r="C7" s="121"/>
      <c r="D7" s="121"/>
      <c r="E7" s="121"/>
      <c r="F7" s="121"/>
      <c r="G7" s="121"/>
      <c r="H7" s="121"/>
      <c r="I7" s="121"/>
      <c r="J7" s="121"/>
      <c r="K7" s="3"/>
      <c r="L7" s="3"/>
    </row>
    <row r="8" spans="1:14" ht="15.75" thickTop="1">
      <c r="A8" s="2"/>
      <c r="B8" s="2"/>
      <c r="H8" s="25"/>
      <c r="I8" s="31"/>
      <c r="J8" s="32"/>
      <c r="K8" s="4"/>
      <c r="L8" s="2"/>
    </row>
    <row r="9" spans="1:14" ht="16.5" customHeight="1" thickBot="1">
      <c r="A9" s="129" t="s">
        <v>2</v>
      </c>
      <c r="B9" s="129"/>
      <c r="C9" s="129"/>
      <c r="D9" s="129"/>
      <c r="E9" s="129"/>
      <c r="F9" s="129"/>
      <c r="G9" s="129"/>
      <c r="H9" s="129"/>
      <c r="I9" s="129"/>
      <c r="J9" s="129"/>
    </row>
    <row r="10" spans="1:14" ht="15.75" thickTop="1">
      <c r="I10" s="30"/>
      <c r="J10" s="12"/>
    </row>
    <row r="11" spans="1:14" ht="16.5" customHeight="1">
      <c r="A11" s="110" t="s">
        <v>5</v>
      </c>
      <c r="B11" s="110"/>
      <c r="C11" s="127" t="s">
        <v>314</v>
      </c>
      <c r="D11" s="127"/>
      <c r="E11" s="127"/>
      <c r="F11" s="127"/>
      <c r="G11" s="110" t="s">
        <v>3</v>
      </c>
      <c r="H11" s="110"/>
      <c r="I11" s="111" t="s">
        <v>121</v>
      </c>
      <c r="J11" s="111"/>
    </row>
    <row r="12" spans="1:14">
      <c r="A12" s="97"/>
      <c r="B12" s="97"/>
      <c r="C12" s="127"/>
      <c r="D12" s="127"/>
      <c r="E12" s="127"/>
      <c r="F12" s="127"/>
      <c r="G12" s="97"/>
      <c r="H12" s="97"/>
      <c r="I12" s="1"/>
      <c r="J12" s="1"/>
    </row>
    <row r="13" spans="1:14" ht="16.5">
      <c r="A13" s="110" t="s">
        <v>6</v>
      </c>
      <c r="B13" s="110"/>
      <c r="C13" s="128" t="s">
        <v>315</v>
      </c>
      <c r="D13" s="128"/>
      <c r="E13" s="128"/>
      <c r="F13" s="128"/>
      <c r="G13" s="126" t="s">
        <v>7</v>
      </c>
      <c r="H13" s="126"/>
      <c r="I13" s="112"/>
      <c r="J13" s="113"/>
    </row>
    <row r="14" spans="1:14" ht="15" customHeight="1">
      <c r="A14" s="97"/>
      <c r="B14" s="97"/>
      <c r="C14" s="128"/>
      <c r="D14" s="128"/>
      <c r="E14" s="128"/>
      <c r="F14" s="128"/>
      <c r="G14" s="97"/>
      <c r="H14" s="97"/>
      <c r="I14" s="114"/>
      <c r="J14" s="114"/>
    </row>
    <row r="15" spans="1:14" ht="16.5">
      <c r="A15" s="126" t="s">
        <v>4</v>
      </c>
      <c r="B15" s="126"/>
      <c r="C15" s="113"/>
      <c r="D15" s="113"/>
      <c r="E15" s="113"/>
      <c r="F15" s="113"/>
      <c r="G15" s="110" t="s">
        <v>8</v>
      </c>
      <c r="H15" s="110"/>
      <c r="I15" s="111" t="s">
        <v>144</v>
      </c>
      <c r="J15" s="111"/>
    </row>
    <row r="17" spans="1:10" ht="19.5" thickBot="1">
      <c r="A17" s="115" t="s">
        <v>9</v>
      </c>
      <c r="B17" s="115"/>
      <c r="C17" s="115"/>
      <c r="D17" s="115"/>
      <c r="E17" s="115"/>
      <c r="F17" s="115"/>
      <c r="G17" s="115"/>
      <c r="H17" s="115"/>
      <c r="I17" s="115"/>
      <c r="J17" s="115"/>
    </row>
    <row r="18" spans="1:10" ht="15.75" thickTop="1">
      <c r="A18" s="124" t="s">
        <v>10</v>
      </c>
      <c r="B18" s="124"/>
      <c r="C18" s="124"/>
      <c r="D18" s="124"/>
      <c r="E18" s="124"/>
      <c r="F18" s="124"/>
      <c r="G18" s="124"/>
      <c r="H18" s="124"/>
      <c r="I18" s="124"/>
      <c r="J18" s="124"/>
    </row>
    <row r="19" spans="1:10" ht="15" customHeight="1">
      <c r="A19" s="125" t="s">
        <v>11</v>
      </c>
      <c r="B19" s="125"/>
      <c r="C19" s="125"/>
      <c r="D19" s="125"/>
      <c r="E19" s="125"/>
      <c r="F19" s="125"/>
      <c r="G19" s="125"/>
      <c r="H19" s="125"/>
      <c r="I19" s="125"/>
      <c r="J19" s="125"/>
    </row>
    <row r="20" spans="1:10">
      <c r="A20" s="125"/>
      <c r="B20" s="125"/>
      <c r="C20" s="125"/>
      <c r="D20" s="125"/>
      <c r="E20" s="125"/>
      <c r="F20" s="125"/>
      <c r="G20" s="125"/>
      <c r="H20" s="125"/>
      <c r="I20" s="125"/>
      <c r="J20" s="125"/>
    </row>
    <row r="21" spans="1:10">
      <c r="A21" s="125"/>
      <c r="B21" s="125"/>
      <c r="C21" s="125"/>
      <c r="D21" s="125"/>
      <c r="E21" s="125"/>
      <c r="F21" s="125"/>
      <c r="G21" s="125"/>
      <c r="H21" s="125"/>
      <c r="I21" s="125"/>
      <c r="J21" s="125"/>
    </row>
    <row r="22" spans="1:10">
      <c r="A22" s="125"/>
      <c r="B22" s="125"/>
      <c r="C22" s="125"/>
      <c r="D22" s="125"/>
      <c r="E22" s="125"/>
      <c r="F22" s="125"/>
      <c r="G22" s="125"/>
      <c r="H22" s="125"/>
      <c r="I22" s="125"/>
      <c r="J22" s="125"/>
    </row>
    <row r="23" spans="1:10">
      <c r="A23" s="125"/>
      <c r="B23" s="125"/>
      <c r="C23" s="125"/>
      <c r="D23" s="125"/>
      <c r="E23" s="125"/>
      <c r="F23" s="125"/>
      <c r="G23" s="125"/>
      <c r="H23" s="125"/>
      <c r="I23" s="125"/>
      <c r="J23" s="125"/>
    </row>
    <row r="24" spans="1:10">
      <c r="A24" s="125"/>
      <c r="B24" s="125"/>
      <c r="C24" s="125"/>
      <c r="D24" s="125"/>
      <c r="E24" s="125"/>
      <c r="F24" s="125"/>
      <c r="G24" s="125"/>
      <c r="H24" s="125"/>
      <c r="I24" s="125"/>
      <c r="J24" s="125"/>
    </row>
    <row r="25" spans="1:10">
      <c r="A25" s="125"/>
      <c r="B25" s="125"/>
      <c r="C25" s="125"/>
      <c r="D25" s="125"/>
      <c r="E25" s="125"/>
      <c r="F25" s="125"/>
      <c r="G25" s="125"/>
      <c r="H25" s="125"/>
      <c r="I25" s="125"/>
      <c r="J25" s="125"/>
    </row>
    <row r="26" spans="1:10">
      <c r="A26" s="125"/>
      <c r="B26" s="125"/>
      <c r="C26" s="125"/>
      <c r="D26" s="125"/>
      <c r="E26" s="125"/>
      <c r="F26" s="125"/>
      <c r="G26" s="125"/>
      <c r="H26" s="125"/>
      <c r="I26" s="125"/>
      <c r="J26" s="125"/>
    </row>
    <row r="27" spans="1:10">
      <c r="A27" s="125"/>
      <c r="B27" s="125"/>
      <c r="C27" s="125"/>
      <c r="D27" s="125"/>
      <c r="E27" s="125"/>
      <c r="F27" s="125"/>
      <c r="G27" s="125"/>
      <c r="H27" s="125"/>
      <c r="I27" s="125"/>
      <c r="J27" s="125"/>
    </row>
    <row r="28" spans="1:10">
      <c r="A28" s="125"/>
      <c r="B28" s="125"/>
      <c r="C28" s="125"/>
      <c r="D28" s="125"/>
      <c r="E28" s="125"/>
      <c r="F28" s="125"/>
      <c r="G28" s="125"/>
      <c r="H28" s="125"/>
      <c r="I28" s="125"/>
      <c r="J28" s="125"/>
    </row>
    <row r="29" spans="1:10">
      <c r="A29" s="125"/>
      <c r="B29" s="125"/>
      <c r="C29" s="125"/>
      <c r="D29" s="125"/>
      <c r="E29" s="125"/>
      <c r="F29" s="125"/>
      <c r="G29" s="125"/>
      <c r="H29" s="125"/>
      <c r="I29" s="125"/>
      <c r="J29" s="125"/>
    </row>
    <row r="30" spans="1:10">
      <c r="A30" s="125"/>
      <c r="B30" s="125"/>
      <c r="C30" s="125"/>
      <c r="D30" s="125"/>
      <c r="E30" s="125"/>
      <c r="F30" s="125"/>
      <c r="G30" s="125"/>
      <c r="H30" s="125"/>
      <c r="I30" s="125"/>
      <c r="J30" s="125"/>
    </row>
    <row r="31" spans="1:10">
      <c r="A31" s="125"/>
      <c r="B31" s="125"/>
      <c r="C31" s="125"/>
      <c r="D31" s="125"/>
      <c r="E31" s="125"/>
      <c r="F31" s="125"/>
      <c r="G31" s="125"/>
      <c r="H31" s="125"/>
      <c r="I31" s="125"/>
      <c r="J31" s="125"/>
    </row>
    <row r="32" spans="1:10">
      <c r="A32" s="125"/>
      <c r="B32" s="125"/>
      <c r="C32" s="125"/>
      <c r="D32" s="125"/>
      <c r="E32" s="125"/>
      <c r="F32" s="125"/>
      <c r="G32" s="125"/>
      <c r="H32" s="125"/>
      <c r="I32" s="125"/>
      <c r="J32" s="125"/>
    </row>
    <row r="33" spans="1:16">
      <c r="A33" s="125"/>
      <c r="B33" s="125"/>
      <c r="C33" s="125"/>
      <c r="D33" s="125"/>
      <c r="E33" s="125"/>
      <c r="F33" s="125"/>
      <c r="G33" s="125"/>
      <c r="H33" s="125"/>
      <c r="I33" s="125"/>
      <c r="J33" s="125"/>
    </row>
    <row r="34" spans="1:16">
      <c r="A34" s="125"/>
      <c r="B34" s="125"/>
      <c r="C34" s="125"/>
      <c r="D34" s="125"/>
      <c r="E34" s="125"/>
      <c r="F34" s="125"/>
      <c r="G34" s="125"/>
      <c r="H34" s="125"/>
      <c r="I34" s="125"/>
      <c r="J34" s="125"/>
    </row>
    <row r="35" spans="1:16" ht="19.5" thickBot="1">
      <c r="A35" s="115" t="s">
        <v>14</v>
      </c>
      <c r="B35" s="115"/>
      <c r="C35" s="115"/>
      <c r="D35" s="115"/>
      <c r="E35" s="115"/>
      <c r="F35" s="115" t="s">
        <v>15</v>
      </c>
      <c r="G35" s="115"/>
      <c r="H35" s="115"/>
      <c r="I35" s="115"/>
      <c r="J35" s="115"/>
    </row>
    <row r="36" spans="1:16" ht="15.75" thickTop="1">
      <c r="E36" s="7"/>
    </row>
    <row r="37" spans="1:16">
      <c r="A37" s="101" t="s">
        <v>12</v>
      </c>
      <c r="B37" s="101"/>
      <c r="C37" s="101" t="s">
        <v>149</v>
      </c>
      <c r="D37" s="101"/>
      <c r="E37" s="117"/>
      <c r="F37" s="105" t="s">
        <v>45</v>
      </c>
      <c r="G37" s="105"/>
      <c r="H37" s="44">
        <v>3</v>
      </c>
      <c r="I37" s="39" t="s">
        <v>152</v>
      </c>
      <c r="J37" s="23"/>
      <c r="L37" s="101"/>
      <c r="M37" s="101"/>
      <c r="N37" s="98"/>
      <c r="O37" s="98"/>
      <c r="P37" s="98"/>
    </row>
    <row r="38" spans="1:16" ht="9.9499999999999993" customHeight="1">
      <c r="A38" s="116"/>
      <c r="B38" s="116"/>
      <c r="C38" s="116"/>
      <c r="D38" s="13"/>
      <c r="E38" s="14"/>
      <c r="F38" s="104"/>
      <c r="G38" s="104"/>
      <c r="H38" s="104"/>
      <c r="I38" s="104"/>
      <c r="J38" s="104"/>
      <c r="L38" s="97"/>
      <c r="M38" s="97"/>
      <c r="N38" s="9"/>
      <c r="O38" s="9"/>
      <c r="P38" s="9"/>
    </row>
    <row r="39" spans="1:16">
      <c r="A39" s="101" t="s">
        <v>13</v>
      </c>
      <c r="B39" s="101"/>
      <c r="C39" s="101" t="s">
        <v>261</v>
      </c>
      <c r="D39" s="101"/>
      <c r="E39" s="117"/>
      <c r="F39" s="104" t="s">
        <v>44</v>
      </c>
      <c r="G39" s="104"/>
      <c r="H39" s="104" t="s">
        <v>149</v>
      </c>
      <c r="I39" s="104"/>
      <c r="J39" s="104"/>
      <c r="L39" s="101"/>
      <c r="M39" s="101"/>
      <c r="N39" s="98"/>
      <c r="O39" s="98"/>
      <c r="P39" s="98"/>
    </row>
    <row r="40" spans="1:16" ht="9.9499999999999993" customHeight="1">
      <c r="A40" s="101"/>
      <c r="B40" s="101"/>
      <c r="C40" s="101"/>
      <c r="D40" s="13"/>
      <c r="E40" s="14"/>
      <c r="F40" s="104"/>
      <c r="G40" s="104"/>
      <c r="H40" s="104"/>
      <c r="I40" s="104"/>
      <c r="J40" s="104"/>
      <c r="L40" s="97"/>
      <c r="M40" s="97"/>
      <c r="N40" s="9"/>
      <c r="O40" s="9"/>
      <c r="P40" s="9"/>
    </row>
    <row r="41" spans="1:16">
      <c r="A41" s="101" t="s">
        <v>16</v>
      </c>
      <c r="B41" s="101"/>
      <c r="C41" s="36">
        <v>1500</v>
      </c>
      <c r="D41" s="36" t="s">
        <v>200</v>
      </c>
      <c r="E41" s="37"/>
      <c r="F41" s="105" t="s">
        <v>19</v>
      </c>
      <c r="G41" s="105"/>
      <c r="H41" s="107" t="s">
        <v>185</v>
      </c>
      <c r="I41" s="107"/>
      <c r="J41" s="107"/>
      <c r="L41" s="101"/>
      <c r="M41" s="101"/>
      <c r="N41" s="98"/>
      <c r="O41" s="98"/>
      <c r="P41" s="98"/>
    </row>
    <row r="42" spans="1:16" ht="9.9499999999999993" customHeight="1">
      <c r="A42" s="101"/>
      <c r="B42" s="101"/>
      <c r="C42" s="101"/>
      <c r="D42" s="13"/>
      <c r="E42" s="14"/>
      <c r="F42" s="104"/>
      <c r="G42" s="104"/>
      <c r="H42" s="104"/>
      <c r="I42" s="104"/>
      <c r="J42" s="104"/>
      <c r="L42" s="101"/>
      <c r="M42" s="101"/>
      <c r="N42" s="9"/>
      <c r="O42" s="9"/>
      <c r="P42" s="9"/>
    </row>
    <row r="43" spans="1:16">
      <c r="A43" s="101" t="s">
        <v>21</v>
      </c>
      <c r="B43" s="101"/>
      <c r="C43" s="36">
        <v>0</v>
      </c>
      <c r="D43" s="36" t="s">
        <v>165</v>
      </c>
      <c r="E43" s="37" t="s">
        <v>197</v>
      </c>
      <c r="F43" s="104" t="s">
        <v>20</v>
      </c>
      <c r="G43" s="104"/>
      <c r="H43" s="104" t="s">
        <v>149</v>
      </c>
      <c r="I43" s="104"/>
      <c r="J43" s="104"/>
      <c r="L43" s="101"/>
      <c r="M43" s="101"/>
      <c r="N43" s="98"/>
      <c r="O43" s="98"/>
      <c r="P43" s="98"/>
    </row>
    <row r="44" spans="1:16" ht="9.9499999999999993" customHeight="1">
      <c r="A44" s="101"/>
      <c r="B44" s="101"/>
      <c r="C44" s="101"/>
      <c r="D44" s="13"/>
      <c r="E44" s="14"/>
      <c r="F44" s="104"/>
      <c r="G44" s="104"/>
      <c r="H44" s="104"/>
      <c r="I44" s="104"/>
      <c r="J44" s="104"/>
      <c r="L44" s="101"/>
      <c r="M44" s="101"/>
      <c r="N44" s="9"/>
      <c r="O44" s="9"/>
      <c r="P44" s="9"/>
    </row>
    <row r="45" spans="1:16">
      <c r="A45" s="102" t="s">
        <v>17</v>
      </c>
      <c r="B45" s="102"/>
      <c r="C45" s="118">
        <v>0</v>
      </c>
      <c r="D45" s="118"/>
      <c r="E45" s="119"/>
      <c r="F45" s="104" t="s">
        <v>42</v>
      </c>
      <c r="G45" s="104"/>
      <c r="H45" s="104" t="str">
        <f>CONCATENATE(H37*60,  ,DATA!N6)</f>
        <v>180Sqft</v>
      </c>
      <c r="I45" s="104"/>
      <c r="J45" s="104"/>
      <c r="L45" s="45"/>
      <c r="M45" s="45"/>
      <c r="N45" s="100"/>
      <c r="O45" s="100"/>
      <c r="P45" s="100"/>
    </row>
    <row r="46" spans="1:16" ht="9.9499999999999993" customHeight="1">
      <c r="A46" s="101"/>
      <c r="B46" s="101"/>
      <c r="C46" s="101"/>
      <c r="D46" s="13"/>
      <c r="E46" s="14"/>
      <c r="F46" s="104"/>
      <c r="G46" s="104"/>
      <c r="H46" s="104"/>
      <c r="I46" s="104"/>
      <c r="J46" s="104"/>
      <c r="L46" s="45"/>
      <c r="M46" s="45"/>
      <c r="N46" s="100"/>
      <c r="O46" s="100"/>
      <c r="P46" s="100"/>
    </row>
    <row r="47" spans="1:16">
      <c r="A47" s="101" t="s">
        <v>18</v>
      </c>
      <c r="B47" s="101"/>
      <c r="C47" s="101" t="s">
        <v>162</v>
      </c>
      <c r="D47" s="101"/>
      <c r="E47" s="101"/>
      <c r="F47" s="108" t="s">
        <v>43</v>
      </c>
      <c r="G47" s="109"/>
      <c r="H47" s="39" t="s">
        <v>139</v>
      </c>
      <c r="I47" s="39" t="s">
        <v>129</v>
      </c>
      <c r="J47" s="24"/>
      <c r="L47" s="36"/>
      <c r="M47" s="36"/>
      <c r="N47" s="9"/>
      <c r="O47" s="9"/>
      <c r="P47" s="9"/>
    </row>
    <row r="48" spans="1:16" ht="16.5">
      <c r="A48" s="103"/>
      <c r="B48" s="103"/>
      <c r="C48" s="103"/>
      <c r="D48" s="15"/>
      <c r="E48" s="15"/>
      <c r="F48" s="108"/>
      <c r="G48" s="109"/>
      <c r="H48" s="105"/>
      <c r="I48" s="105"/>
      <c r="J48" s="105"/>
    </row>
    <row r="49" spans="1:10" ht="16.5" customHeight="1">
      <c r="A49" s="216" t="s">
        <v>75</v>
      </c>
      <c r="B49" s="216"/>
      <c r="C49" s="215"/>
      <c r="D49" s="215"/>
      <c r="E49" s="215"/>
      <c r="F49" s="215"/>
      <c r="G49" s="215"/>
      <c r="H49" s="215"/>
      <c r="I49" s="215"/>
      <c r="J49" s="215"/>
    </row>
    <row r="50" spans="1:10" ht="15" customHeight="1">
      <c r="A50" s="216"/>
      <c r="B50" s="216"/>
      <c r="C50" s="215"/>
      <c r="D50" s="215"/>
      <c r="E50" s="215"/>
      <c r="F50" s="215"/>
      <c r="G50" s="215"/>
      <c r="H50" s="215"/>
      <c r="I50" s="215"/>
      <c r="J50" s="215"/>
    </row>
    <row r="51" spans="1:10" ht="19.5" thickBot="1">
      <c r="A51" s="115" t="s">
        <v>22</v>
      </c>
      <c r="B51" s="115"/>
      <c r="C51" s="115"/>
      <c r="D51" s="115"/>
      <c r="E51" s="115"/>
      <c r="F51" s="115"/>
      <c r="G51" s="115"/>
      <c r="H51" s="115"/>
      <c r="I51" s="115"/>
      <c r="J51" s="115"/>
    </row>
    <row r="52" spans="1:10" ht="15.75" thickTop="1"/>
    <row r="53" spans="1:10" ht="15.75">
      <c r="A53" s="10" t="s">
        <v>23</v>
      </c>
      <c r="B53" s="99" t="s">
        <v>24</v>
      </c>
      <c r="C53" s="99"/>
      <c r="D53" s="99" t="s">
        <v>25</v>
      </c>
      <c r="E53" s="99"/>
      <c r="F53" s="99" t="s">
        <v>26</v>
      </c>
      <c r="G53" s="99"/>
      <c r="H53" s="99"/>
      <c r="I53" s="10" t="s">
        <v>27</v>
      </c>
      <c r="J53" s="10" t="s">
        <v>28</v>
      </c>
    </row>
    <row r="54" spans="1:10" ht="15" customHeight="1">
      <c r="A54" s="132">
        <v>1</v>
      </c>
      <c r="B54" s="132" t="s">
        <v>29</v>
      </c>
      <c r="C54" s="132"/>
      <c r="D54" s="151" t="s">
        <v>317</v>
      </c>
      <c r="E54" s="151"/>
      <c r="F54" s="136" t="s">
        <v>316</v>
      </c>
      <c r="G54" s="136"/>
      <c r="H54" s="136"/>
      <c r="I54" s="132" t="s">
        <v>30</v>
      </c>
      <c r="J54" s="132">
        <f>H37*1000/600</f>
        <v>5</v>
      </c>
    </row>
    <row r="55" spans="1:10">
      <c r="A55" s="132"/>
      <c r="B55" s="132"/>
      <c r="C55" s="132"/>
      <c r="D55" s="151"/>
      <c r="E55" s="151"/>
      <c r="F55" s="136"/>
      <c r="G55" s="136"/>
      <c r="H55" s="136"/>
      <c r="I55" s="132"/>
      <c r="J55" s="132"/>
    </row>
    <row r="56" spans="1:10">
      <c r="A56" s="132"/>
      <c r="B56" s="132"/>
      <c r="C56" s="132"/>
      <c r="D56" s="151"/>
      <c r="E56" s="151"/>
      <c r="F56" s="136"/>
      <c r="G56" s="136"/>
      <c r="H56" s="136"/>
      <c r="I56" s="132"/>
      <c r="J56" s="132"/>
    </row>
    <row r="57" spans="1:10">
      <c r="A57" s="132">
        <v>2</v>
      </c>
      <c r="B57" s="132" t="s">
        <v>158</v>
      </c>
      <c r="C57" s="132"/>
      <c r="D57" s="149" t="s">
        <v>196</v>
      </c>
      <c r="E57" s="150"/>
      <c r="F57" s="136" t="s">
        <v>201</v>
      </c>
      <c r="G57" s="136"/>
      <c r="H57" s="136"/>
      <c r="I57" s="132" t="s">
        <v>30</v>
      </c>
      <c r="J57" s="132">
        <v>1</v>
      </c>
    </row>
    <row r="58" spans="1:10">
      <c r="A58" s="132"/>
      <c r="B58" s="132"/>
      <c r="C58" s="132"/>
      <c r="D58" s="150"/>
      <c r="E58" s="150"/>
      <c r="F58" s="136"/>
      <c r="G58" s="136"/>
      <c r="H58" s="136"/>
      <c r="I58" s="132"/>
      <c r="J58" s="132"/>
    </row>
    <row r="59" spans="1:10">
      <c r="A59" s="132"/>
      <c r="B59" s="132"/>
      <c r="C59" s="132"/>
      <c r="D59" s="150"/>
      <c r="E59" s="150"/>
      <c r="F59" s="136"/>
      <c r="G59" s="136"/>
      <c r="H59" s="136"/>
      <c r="I59" s="132"/>
      <c r="J59" s="132"/>
    </row>
    <row r="60" spans="1:10">
      <c r="A60" s="132">
        <v>3</v>
      </c>
      <c r="B60" s="132" t="s">
        <v>31</v>
      </c>
      <c r="C60" s="132"/>
      <c r="D60" s="141" t="s">
        <v>279</v>
      </c>
      <c r="E60" s="142"/>
      <c r="F60" s="136" t="s">
        <v>32</v>
      </c>
      <c r="G60" s="136"/>
      <c r="H60" s="136"/>
      <c r="I60" s="132" t="s">
        <v>33</v>
      </c>
      <c r="J60" s="132">
        <v>1</v>
      </c>
    </row>
    <row r="61" spans="1:10">
      <c r="A61" s="132"/>
      <c r="B61" s="132"/>
      <c r="C61" s="132"/>
      <c r="D61" s="142"/>
      <c r="E61" s="142"/>
      <c r="F61" s="136"/>
      <c r="G61" s="136"/>
      <c r="H61" s="136"/>
      <c r="I61" s="132"/>
      <c r="J61" s="132"/>
    </row>
    <row r="62" spans="1:10">
      <c r="A62" s="132"/>
      <c r="B62" s="132"/>
      <c r="C62" s="132"/>
      <c r="D62" s="142"/>
      <c r="E62" s="142"/>
      <c r="F62" s="136"/>
      <c r="G62" s="136"/>
      <c r="H62" s="136"/>
      <c r="I62" s="132"/>
      <c r="J62" s="132"/>
    </row>
    <row r="63" spans="1:10">
      <c r="A63" s="132">
        <v>4</v>
      </c>
      <c r="B63" s="131" t="s">
        <v>34</v>
      </c>
      <c r="C63" s="131"/>
      <c r="D63" s="132" t="s">
        <v>35</v>
      </c>
      <c r="E63" s="132"/>
      <c r="F63" s="136" t="s">
        <v>32</v>
      </c>
      <c r="G63" s="136"/>
      <c r="H63" s="136"/>
      <c r="I63" s="132" t="s">
        <v>33</v>
      </c>
      <c r="J63" s="132">
        <v>1</v>
      </c>
    </row>
    <row r="64" spans="1:10">
      <c r="A64" s="132"/>
      <c r="B64" s="131"/>
      <c r="C64" s="131"/>
      <c r="D64" s="132"/>
      <c r="E64" s="132"/>
      <c r="F64" s="136"/>
      <c r="G64" s="136"/>
      <c r="H64" s="136"/>
      <c r="I64" s="132"/>
      <c r="J64" s="132"/>
    </row>
    <row r="65" spans="1:10">
      <c r="A65" s="132"/>
      <c r="B65" s="131"/>
      <c r="C65" s="131"/>
      <c r="D65" s="132"/>
      <c r="E65" s="132"/>
      <c r="F65" s="136"/>
      <c r="G65" s="136"/>
      <c r="H65" s="136"/>
      <c r="I65" s="132"/>
      <c r="J65" s="132"/>
    </row>
    <row r="66" spans="1:10">
      <c r="A66" s="132">
        <v>5</v>
      </c>
      <c r="B66" s="131" t="s">
        <v>36</v>
      </c>
      <c r="C66" s="131"/>
      <c r="D66" s="131" t="s">
        <v>303</v>
      </c>
      <c r="E66" s="132"/>
      <c r="F66" s="136" t="s">
        <v>37</v>
      </c>
      <c r="G66" s="136"/>
      <c r="H66" s="136"/>
      <c r="I66" s="132" t="s">
        <v>33</v>
      </c>
      <c r="J66" s="132" t="s">
        <v>154</v>
      </c>
    </row>
    <row r="67" spans="1:10">
      <c r="A67" s="132"/>
      <c r="B67" s="131"/>
      <c r="C67" s="131"/>
      <c r="D67" s="132"/>
      <c r="E67" s="132"/>
      <c r="F67" s="136"/>
      <c r="G67" s="136"/>
      <c r="H67" s="136"/>
      <c r="I67" s="132"/>
      <c r="J67" s="132"/>
    </row>
    <row r="68" spans="1:10">
      <c r="A68" s="132"/>
      <c r="B68" s="131"/>
      <c r="C68" s="131"/>
      <c r="D68" s="132"/>
      <c r="E68" s="132"/>
      <c r="F68" s="136"/>
      <c r="G68" s="136"/>
      <c r="H68" s="136"/>
      <c r="I68" s="132"/>
      <c r="J68" s="132"/>
    </row>
    <row r="69" spans="1:10">
      <c r="A69" s="143"/>
      <c r="B69" s="114"/>
      <c r="C69" s="114"/>
      <c r="D69" s="114"/>
      <c r="E69" s="114"/>
      <c r="F69" s="114"/>
      <c r="G69" s="114"/>
      <c r="H69" s="114"/>
      <c r="I69" s="114"/>
      <c r="J69" s="144"/>
    </row>
    <row r="70" spans="1:10" ht="19.5" thickBot="1">
      <c r="A70" s="145" t="s">
        <v>167</v>
      </c>
      <c r="B70" s="115"/>
      <c r="C70" s="115"/>
      <c r="D70" s="115"/>
      <c r="E70" s="115"/>
      <c r="F70" s="115"/>
      <c r="G70" s="115"/>
      <c r="H70" s="115"/>
      <c r="I70" s="115"/>
      <c r="J70" s="146"/>
    </row>
    <row r="71" spans="1:10" ht="20.100000000000001" customHeight="1" thickTop="1">
      <c r="A71" s="51"/>
      <c r="B71" s="137" t="s">
        <v>168</v>
      </c>
      <c r="C71" s="137"/>
      <c r="D71" s="137"/>
      <c r="E71" s="137" t="s">
        <v>169</v>
      </c>
      <c r="F71" s="137"/>
      <c r="G71" s="138" t="s">
        <v>170</v>
      </c>
      <c r="H71" s="138"/>
      <c r="I71" s="138" t="s">
        <v>171</v>
      </c>
      <c r="J71" s="138"/>
    </row>
    <row r="72" spans="1:10" ht="20.100000000000001" customHeight="1">
      <c r="A72" s="50">
        <v>6</v>
      </c>
      <c r="B72" s="148" t="s">
        <v>268</v>
      </c>
      <c r="C72" s="148"/>
      <c r="D72" s="148"/>
      <c r="E72" s="139" t="s">
        <v>172</v>
      </c>
      <c r="F72" s="139"/>
      <c r="G72" s="140" t="s">
        <v>172</v>
      </c>
      <c r="H72" s="140"/>
      <c r="I72" s="140" t="s">
        <v>173</v>
      </c>
      <c r="J72" s="140"/>
    </row>
    <row r="73" spans="1:10" ht="33.75" customHeight="1">
      <c r="A73" s="49">
        <v>7</v>
      </c>
      <c r="B73" s="136" t="s">
        <v>267</v>
      </c>
      <c r="C73" s="136"/>
      <c r="D73" s="136"/>
      <c r="E73" s="131" t="s">
        <v>174</v>
      </c>
      <c r="F73" s="131"/>
      <c r="G73" s="131" t="s">
        <v>174</v>
      </c>
      <c r="H73" s="131"/>
      <c r="I73" s="131" t="s">
        <v>174</v>
      </c>
      <c r="J73" s="131"/>
    </row>
    <row r="74" spans="1:10" ht="20.100000000000001" customHeight="1">
      <c r="A74" s="49">
        <v>8</v>
      </c>
      <c r="B74" s="136" t="s">
        <v>302</v>
      </c>
      <c r="C74" s="136"/>
      <c r="D74" s="136"/>
      <c r="E74" s="131" t="s">
        <v>175</v>
      </c>
      <c r="F74" s="131"/>
      <c r="G74" s="131" t="s">
        <v>175</v>
      </c>
      <c r="H74" s="131"/>
      <c r="I74" s="131" t="s">
        <v>175</v>
      </c>
      <c r="J74" s="131"/>
    </row>
    <row r="75" spans="1:10" ht="20.100000000000001" customHeight="1">
      <c r="A75" s="49">
        <v>9</v>
      </c>
      <c r="B75" s="136" t="s">
        <v>307</v>
      </c>
      <c r="C75" s="136"/>
      <c r="D75" s="136"/>
      <c r="E75" s="131" t="s">
        <v>176</v>
      </c>
      <c r="F75" s="131"/>
      <c r="G75" s="132" t="s">
        <v>177</v>
      </c>
      <c r="H75" s="132"/>
      <c r="I75" s="132" t="s">
        <v>177</v>
      </c>
      <c r="J75" s="132"/>
    </row>
    <row r="76" spans="1:10" ht="20.100000000000001" customHeight="1">
      <c r="A76" s="49">
        <v>10</v>
      </c>
      <c r="B76" s="136" t="s">
        <v>178</v>
      </c>
      <c r="C76" s="136"/>
      <c r="D76" s="136"/>
      <c r="E76" s="131" t="s">
        <v>179</v>
      </c>
      <c r="F76" s="131"/>
      <c r="G76" s="131" t="s">
        <v>179</v>
      </c>
      <c r="H76" s="131"/>
      <c r="I76" s="131" t="s">
        <v>179</v>
      </c>
      <c r="J76" s="131"/>
    </row>
    <row r="77" spans="1:10" ht="20.100000000000001" customHeight="1">
      <c r="A77" s="49">
        <v>11</v>
      </c>
      <c r="B77" s="136" t="s">
        <v>180</v>
      </c>
      <c r="C77" s="136"/>
      <c r="D77" s="136"/>
      <c r="E77" s="131" t="s">
        <v>179</v>
      </c>
      <c r="F77" s="131"/>
      <c r="G77" s="131" t="s">
        <v>179</v>
      </c>
      <c r="H77" s="131"/>
      <c r="I77" s="131" t="s">
        <v>179</v>
      </c>
      <c r="J77" s="131"/>
    </row>
    <row r="78" spans="1:10" ht="20.100000000000001" customHeight="1">
      <c r="A78" s="49">
        <v>12</v>
      </c>
      <c r="B78" s="136" t="s">
        <v>181</v>
      </c>
      <c r="C78" s="136"/>
      <c r="D78" s="136"/>
      <c r="E78" s="131" t="s">
        <v>182</v>
      </c>
      <c r="F78" s="131"/>
      <c r="G78" s="131" t="s">
        <v>182</v>
      </c>
      <c r="H78" s="131"/>
      <c r="I78" s="131" t="s">
        <v>182</v>
      </c>
      <c r="J78" s="131"/>
    </row>
    <row r="79" spans="1:10" ht="20.100000000000001" customHeight="1">
      <c r="A79" s="133"/>
      <c r="B79" s="134"/>
      <c r="C79" s="134"/>
      <c r="D79" s="134"/>
      <c r="E79" s="134"/>
      <c r="F79" s="134"/>
      <c r="G79" s="134"/>
      <c r="H79" s="134"/>
      <c r="I79" s="134"/>
      <c r="J79" s="135"/>
    </row>
    <row r="80" spans="1:10">
      <c r="A80" s="132">
        <v>10</v>
      </c>
      <c r="B80" s="132" t="s">
        <v>38</v>
      </c>
      <c r="C80" s="132"/>
      <c r="D80" s="132"/>
      <c r="E80" s="132"/>
      <c r="F80" s="136" t="s">
        <v>39</v>
      </c>
      <c r="G80" s="136"/>
      <c r="H80" s="136"/>
      <c r="I80" s="132"/>
      <c r="J80" s="132"/>
    </row>
    <row r="81" spans="1:10">
      <c r="A81" s="132"/>
      <c r="B81" s="132"/>
      <c r="C81" s="132"/>
      <c r="D81" s="132"/>
      <c r="E81" s="132"/>
      <c r="F81" s="136"/>
      <c r="G81" s="136"/>
      <c r="H81" s="136"/>
      <c r="I81" s="132"/>
      <c r="J81" s="132"/>
    </row>
    <row r="82" spans="1:10">
      <c r="A82" s="132"/>
      <c r="B82" s="132"/>
      <c r="C82" s="132"/>
      <c r="D82" s="132"/>
      <c r="E82" s="132"/>
      <c r="F82" s="136"/>
      <c r="G82" s="136"/>
      <c r="H82" s="136"/>
      <c r="I82" s="132"/>
      <c r="J82" s="132"/>
    </row>
    <row r="83" spans="1:10" ht="15" customHeight="1">
      <c r="A83" s="132">
        <v>11</v>
      </c>
      <c r="B83" s="131" t="s">
        <v>40</v>
      </c>
      <c r="C83" s="131"/>
      <c r="D83" s="132"/>
      <c r="E83" s="132"/>
      <c r="F83" s="136" t="s">
        <v>41</v>
      </c>
      <c r="G83" s="136"/>
      <c r="H83" s="136"/>
      <c r="I83" s="132"/>
      <c r="J83" s="132"/>
    </row>
    <row r="84" spans="1:10">
      <c r="A84" s="132"/>
      <c r="B84" s="131"/>
      <c r="C84" s="131"/>
      <c r="D84" s="132"/>
      <c r="E84" s="132"/>
      <c r="F84" s="136"/>
      <c r="G84" s="136"/>
      <c r="H84" s="136"/>
      <c r="I84" s="132"/>
      <c r="J84" s="132"/>
    </row>
    <row r="85" spans="1:10">
      <c r="A85" s="132"/>
      <c r="B85" s="131"/>
      <c r="C85" s="131"/>
      <c r="D85" s="132"/>
      <c r="E85" s="132"/>
      <c r="F85" s="136"/>
      <c r="G85" s="136"/>
      <c r="H85" s="136"/>
      <c r="I85" s="132"/>
      <c r="J85" s="132"/>
    </row>
    <row r="86" spans="1:10">
      <c r="A86" s="132"/>
      <c r="B86" s="131"/>
      <c r="C86" s="131"/>
      <c r="D86" s="132"/>
      <c r="E86" s="132"/>
      <c r="F86" s="136"/>
      <c r="G86" s="136"/>
      <c r="H86" s="136"/>
      <c r="I86" s="132"/>
      <c r="J86" s="132"/>
    </row>
    <row r="87" spans="1:10">
      <c r="A87" s="132"/>
      <c r="B87" s="131"/>
      <c r="C87" s="131"/>
      <c r="D87" s="132"/>
      <c r="E87" s="132"/>
      <c r="F87" s="136"/>
      <c r="G87" s="136"/>
      <c r="H87" s="136"/>
      <c r="I87" s="132"/>
      <c r="J87" s="132"/>
    </row>
    <row r="88" spans="1:10">
      <c r="A88" s="132"/>
      <c r="B88" s="131"/>
      <c r="C88" s="131"/>
      <c r="D88" s="132"/>
      <c r="E88" s="132"/>
      <c r="F88" s="136"/>
      <c r="G88" s="136"/>
      <c r="H88" s="136"/>
      <c r="I88" s="132"/>
      <c r="J88" s="132"/>
    </row>
    <row r="100" spans="1:14" ht="19.5" thickBot="1">
      <c r="A100" s="115" t="s">
        <v>46</v>
      </c>
      <c r="B100" s="115"/>
      <c r="C100" s="115"/>
      <c r="D100" s="115"/>
      <c r="E100" s="115"/>
      <c r="F100" s="115"/>
      <c r="G100" s="115"/>
      <c r="H100" s="115"/>
      <c r="I100" s="115"/>
      <c r="J100" s="115"/>
      <c r="N100" s="35"/>
    </row>
    <row r="101" spans="1:14" ht="15.75" thickTop="1"/>
    <row r="102" spans="1:14">
      <c r="A102" s="11" t="s">
        <v>23</v>
      </c>
      <c r="B102" s="181" t="s">
        <v>24</v>
      </c>
      <c r="C102" s="181"/>
      <c r="D102" s="181"/>
      <c r="E102" s="11" t="s">
        <v>28</v>
      </c>
      <c r="F102" s="11" t="s">
        <v>27</v>
      </c>
      <c r="G102" s="181" t="s">
        <v>48</v>
      </c>
      <c r="H102" s="181"/>
      <c r="I102" s="181" t="s">
        <v>47</v>
      </c>
      <c r="J102" s="181"/>
      <c r="K102" s="17" t="s">
        <v>319</v>
      </c>
      <c r="L102" s="17" t="s">
        <v>320</v>
      </c>
      <c r="M102" s="17" t="s">
        <v>321</v>
      </c>
    </row>
    <row r="103" spans="1:14" ht="15" customHeight="1">
      <c r="A103" s="167">
        <v>1</v>
      </c>
      <c r="B103" s="155" t="s">
        <v>299</v>
      </c>
      <c r="C103" s="156"/>
      <c r="D103" s="157"/>
      <c r="E103" s="164">
        <f>H37</f>
        <v>3</v>
      </c>
      <c r="F103" s="167" t="s">
        <v>49</v>
      </c>
      <c r="G103" s="169">
        <f>INDEX('PL Pahal (TOPCON)'!A10:H24,MATCH(QUOTATION!H37,'PL Pahal (TOPCON)'!D10:D19,1),5)</f>
        <v>48565.043999999994</v>
      </c>
      <c r="H103" s="170"/>
      <c r="I103" s="175">
        <f>G103*E103</f>
        <v>145695.13199999998</v>
      </c>
      <c r="J103" s="176"/>
      <c r="K103" s="95">
        <f>INDEX('Price List (TOPCON)'!A10:H19,MATCH(QUOTATION!H37,'Price List (TOPCON)'!D10:D19,1),5)</f>
        <v>54543.09193548387</v>
      </c>
      <c r="L103" s="95">
        <f>INDEX('Price List (BI-FACIAL)'!A10:H24,MATCH(QUOTATION!H37,'Price List (BI-FACIAL)'!D10:D24,1),5)</f>
        <v>51257.447999999997</v>
      </c>
      <c r="M103" s="95">
        <f>INDEX('PL Pahal (TOPCON)'!A10:H24,MATCH(QUOTATION!H37,'PL Pahal (TOPCON)'!D10:D19,1),5)</f>
        <v>48565.043999999994</v>
      </c>
    </row>
    <row r="104" spans="1:14">
      <c r="A104" s="168"/>
      <c r="B104" s="158"/>
      <c r="C104" s="159"/>
      <c r="D104" s="160"/>
      <c r="E104" s="165"/>
      <c r="F104" s="168"/>
      <c r="G104" s="171"/>
      <c r="H104" s="172"/>
      <c r="I104" s="177"/>
      <c r="J104" s="178"/>
      <c r="K104" s="95"/>
      <c r="L104" s="95"/>
      <c r="M104" s="95"/>
    </row>
    <row r="105" spans="1:14">
      <c r="A105" s="168"/>
      <c r="B105" s="158"/>
      <c r="C105" s="159"/>
      <c r="D105" s="160"/>
      <c r="E105" s="165"/>
      <c r="F105" s="168"/>
      <c r="G105" s="171"/>
      <c r="H105" s="172"/>
      <c r="I105" s="177"/>
      <c r="J105" s="178"/>
      <c r="K105" s="95"/>
      <c r="L105" s="95"/>
      <c r="M105" s="95"/>
    </row>
    <row r="106" spans="1:14">
      <c r="A106" s="139"/>
      <c r="B106" s="161"/>
      <c r="C106" s="162"/>
      <c r="D106" s="163"/>
      <c r="E106" s="166"/>
      <c r="F106" s="139"/>
      <c r="G106" s="173"/>
      <c r="H106" s="174"/>
      <c r="I106" s="179"/>
      <c r="J106" s="180"/>
      <c r="K106" s="95"/>
      <c r="L106" s="95"/>
      <c r="M106" s="95"/>
    </row>
    <row r="107" spans="1:14" ht="15" customHeight="1">
      <c r="A107" s="131"/>
      <c r="B107" s="183" t="s">
        <v>50</v>
      </c>
      <c r="C107" s="183"/>
      <c r="D107" s="183"/>
      <c r="E107" s="183"/>
      <c r="F107" s="183"/>
      <c r="G107" s="183"/>
      <c r="H107" s="183"/>
      <c r="I107" s="154">
        <f>I103+I105</f>
        <v>145695.13199999998</v>
      </c>
      <c r="J107" s="154"/>
    </row>
    <row r="108" spans="1:14">
      <c r="A108" s="131"/>
      <c r="B108" s="183"/>
      <c r="C108" s="183"/>
      <c r="D108" s="183"/>
      <c r="E108" s="183"/>
      <c r="F108" s="183"/>
      <c r="G108" s="183"/>
      <c r="H108" s="183"/>
      <c r="I108" s="154"/>
      <c r="J108" s="154"/>
    </row>
    <row r="109" spans="1:14">
      <c r="A109" s="131">
        <v>2</v>
      </c>
      <c r="B109" s="136" t="s">
        <v>191</v>
      </c>
      <c r="C109" s="136"/>
      <c r="D109" s="136"/>
      <c r="E109" s="152">
        <v>1</v>
      </c>
      <c r="F109" s="131" t="s">
        <v>195</v>
      </c>
      <c r="G109" s="153">
        <v>2200</v>
      </c>
      <c r="H109" s="153"/>
      <c r="I109" s="154">
        <f>G109*E109</f>
        <v>2200</v>
      </c>
      <c r="J109" s="154"/>
    </row>
    <row r="110" spans="1:14">
      <c r="A110" s="131"/>
      <c r="B110" s="136"/>
      <c r="C110" s="136"/>
      <c r="D110" s="136"/>
      <c r="E110" s="131"/>
      <c r="F110" s="131"/>
      <c r="G110" s="153"/>
      <c r="H110" s="153"/>
      <c r="I110" s="154"/>
      <c r="J110" s="154"/>
    </row>
    <row r="111" spans="1:14" ht="15" customHeight="1">
      <c r="A111" s="131">
        <v>3</v>
      </c>
      <c r="B111" s="189" t="s">
        <v>190</v>
      </c>
      <c r="C111" s="190"/>
      <c r="D111" s="191"/>
      <c r="E111" s="152">
        <v>0</v>
      </c>
      <c r="F111" s="131" t="s">
        <v>262</v>
      </c>
      <c r="G111" s="153">
        <v>1200</v>
      </c>
      <c r="H111" s="153"/>
      <c r="I111" s="154">
        <f>G111*E111</f>
        <v>0</v>
      </c>
      <c r="J111" s="154"/>
    </row>
    <row r="112" spans="1:14">
      <c r="A112" s="131"/>
      <c r="B112" s="192"/>
      <c r="C112" s="193"/>
      <c r="D112" s="194"/>
      <c r="E112" s="131"/>
      <c r="F112" s="131"/>
      <c r="G112" s="153"/>
      <c r="H112" s="153"/>
      <c r="I112" s="154"/>
      <c r="J112" s="154"/>
    </row>
    <row r="113" spans="1:23">
      <c r="A113" s="131">
        <v>4</v>
      </c>
      <c r="B113" s="136" t="s">
        <v>52</v>
      </c>
      <c r="C113" s="136"/>
      <c r="D113" s="136"/>
      <c r="E113" s="152">
        <v>0</v>
      </c>
      <c r="F113" s="131" t="s">
        <v>306</v>
      </c>
      <c r="G113" s="153">
        <v>200</v>
      </c>
      <c r="H113" s="153"/>
      <c r="I113" s="154">
        <f>G113*E113</f>
        <v>0</v>
      </c>
      <c r="J113" s="154"/>
    </row>
    <row r="114" spans="1:23">
      <c r="A114" s="131"/>
      <c r="B114" s="136"/>
      <c r="C114" s="136"/>
      <c r="D114" s="136"/>
      <c r="E114" s="131"/>
      <c r="F114" s="131"/>
      <c r="G114" s="153"/>
      <c r="H114" s="153"/>
      <c r="I114" s="154"/>
      <c r="J114" s="154"/>
    </row>
    <row r="115" spans="1:23">
      <c r="A115" s="131">
        <v>5</v>
      </c>
      <c r="B115" s="136" t="s">
        <v>51</v>
      </c>
      <c r="C115" s="136"/>
      <c r="D115" s="136"/>
      <c r="E115" s="188">
        <v>1</v>
      </c>
      <c r="F115" s="131"/>
      <c r="G115" s="153">
        <v>0</v>
      </c>
      <c r="H115" s="153"/>
      <c r="I115" s="154">
        <f>G115*E115</f>
        <v>0</v>
      </c>
      <c r="J115" s="154"/>
    </row>
    <row r="116" spans="1:23">
      <c r="A116" s="131"/>
      <c r="B116" s="136"/>
      <c r="C116" s="136"/>
      <c r="D116" s="136"/>
      <c r="E116" s="188"/>
      <c r="F116" s="131"/>
      <c r="G116" s="153"/>
      <c r="H116" s="153"/>
      <c r="I116" s="154"/>
      <c r="J116" s="154"/>
    </row>
    <row r="117" spans="1:23">
      <c r="A117" s="184"/>
      <c r="B117" s="185"/>
      <c r="C117" s="185"/>
      <c r="D117" s="185"/>
      <c r="E117" s="186"/>
      <c r="F117" s="184"/>
      <c r="G117" s="187"/>
      <c r="H117" s="187"/>
      <c r="I117" s="214"/>
      <c r="J117" s="214"/>
      <c r="N117" s="184">
        <v>6</v>
      </c>
      <c r="O117" s="185" t="s">
        <v>305</v>
      </c>
      <c r="P117" s="185"/>
      <c r="Q117" s="185"/>
      <c r="R117" s="186"/>
      <c r="S117" s="184"/>
      <c r="T117" s="187"/>
      <c r="U117" s="187"/>
      <c r="V117" s="214">
        <v>-5000</v>
      </c>
      <c r="W117" s="214"/>
    </row>
    <row r="118" spans="1:23">
      <c r="A118" s="184"/>
      <c r="B118" s="185"/>
      <c r="C118" s="185"/>
      <c r="D118" s="185"/>
      <c r="E118" s="184"/>
      <c r="F118" s="184"/>
      <c r="G118" s="187"/>
      <c r="H118" s="187"/>
      <c r="I118" s="214"/>
      <c r="J118" s="214"/>
      <c r="N118" s="184"/>
      <c r="O118" s="185"/>
      <c r="P118" s="185"/>
      <c r="Q118" s="185"/>
      <c r="R118" s="184"/>
      <c r="S118" s="184"/>
      <c r="T118" s="187"/>
      <c r="U118" s="187"/>
      <c r="V118" s="214"/>
      <c r="W118" s="214"/>
    </row>
    <row r="119" spans="1:23" ht="15" customHeight="1">
      <c r="A119" s="131"/>
      <c r="B119" s="230"/>
      <c r="C119" s="231"/>
      <c r="D119" s="231"/>
      <c r="E119" s="231"/>
      <c r="F119" s="231"/>
      <c r="G119" s="226" t="s">
        <v>53</v>
      </c>
      <c r="H119" s="227"/>
      <c r="I119" s="182">
        <f>SUM(I107:J118)</f>
        <v>147895.13199999998</v>
      </c>
      <c r="J119" s="182"/>
    </row>
    <row r="120" spans="1:23">
      <c r="A120" s="131"/>
      <c r="B120" s="232"/>
      <c r="C120" s="233"/>
      <c r="D120" s="233"/>
      <c r="E120" s="233"/>
      <c r="F120" s="233"/>
      <c r="G120" s="228"/>
      <c r="H120" s="229"/>
      <c r="I120" s="182"/>
      <c r="J120" s="182"/>
    </row>
    <row r="121" spans="1:23">
      <c r="A121" s="131"/>
      <c r="B121" s="195" t="s">
        <v>194</v>
      </c>
      <c r="C121" s="195"/>
      <c r="D121" s="195"/>
      <c r="E121" s="195"/>
      <c r="F121" s="195"/>
      <c r="G121" s="195"/>
      <c r="H121" s="195"/>
      <c r="I121" s="154">
        <f>I119*80%</f>
        <v>118316.1056</v>
      </c>
      <c r="J121" s="154"/>
    </row>
    <row r="122" spans="1:23">
      <c r="A122" s="131"/>
      <c r="B122" s="195"/>
      <c r="C122" s="195"/>
      <c r="D122" s="195"/>
      <c r="E122" s="195"/>
      <c r="F122" s="195"/>
      <c r="G122" s="195"/>
      <c r="H122" s="195"/>
      <c r="I122" s="154"/>
      <c r="J122" s="154"/>
    </row>
    <row r="123" spans="1:23">
      <c r="A123" s="131"/>
      <c r="B123" s="195" t="s">
        <v>164</v>
      </c>
      <c r="C123" s="195"/>
      <c r="D123" s="195"/>
      <c r="E123" s="195"/>
      <c r="F123" s="195"/>
      <c r="G123" s="195"/>
      <c r="H123" s="195"/>
      <c r="I123" s="182">
        <f>I119*20%</f>
        <v>29579.026399999999</v>
      </c>
      <c r="J123" s="182"/>
      <c r="K123" s="96" t="s">
        <v>319</v>
      </c>
      <c r="L123" s="97"/>
      <c r="M123" s="96" t="s">
        <v>322</v>
      </c>
      <c r="N123" s="97"/>
      <c r="O123" s="96" t="s">
        <v>318</v>
      </c>
      <c r="P123" s="97"/>
    </row>
    <row r="124" spans="1:23">
      <c r="A124" s="131"/>
      <c r="B124" s="195"/>
      <c r="C124" s="195"/>
      <c r="D124" s="195"/>
      <c r="E124" s="195"/>
      <c r="F124" s="195"/>
      <c r="G124" s="195"/>
      <c r="H124" s="195"/>
      <c r="I124" s="182"/>
      <c r="J124" s="182"/>
      <c r="K124" s="96"/>
      <c r="L124" s="97"/>
      <c r="M124" s="96"/>
      <c r="N124" s="97"/>
      <c r="O124" s="96"/>
      <c r="P124" s="97"/>
    </row>
    <row r="125" spans="1:23" ht="17.25" customHeight="1">
      <c r="A125" s="167"/>
      <c r="B125" s="199" t="s">
        <v>259</v>
      </c>
      <c r="C125" s="200"/>
      <c r="D125" s="200"/>
      <c r="E125" s="200"/>
      <c r="F125" s="200"/>
      <c r="G125" s="200"/>
      <c r="H125" s="201"/>
      <c r="I125" s="208">
        <f>INDEX('Price List (TOPCON)'!A10:H19,MATCH(QUOTATION!H37,'Price List (TOPCON)'!D10:D19,1),7)</f>
        <v>68640</v>
      </c>
      <c r="J125" s="209"/>
      <c r="K125" s="96">
        <f>INDEX('Price List (TOPCON)'!A10:H19,MATCH(QUOTATION!H37,'Price List (TOPCON)'!D10:D19,1),7)</f>
        <v>68640</v>
      </c>
      <c r="L125" s="97"/>
      <c r="M125" s="96">
        <f>INDEX('Price List (BI-FACIAL)'!A10:H24,MATCH(QUOTATION!H37,'Price List (BI-FACIAL)'!D10:D24,1),7)</f>
        <v>73500</v>
      </c>
      <c r="N125" s="97"/>
      <c r="O125" s="96">
        <f>INDEX('PL Pahal (TOPCON)'!A10:H24,MATCH(QUOTATION!H37,'PL Pahal (TOPCON)'!D10:D19,1),7)</f>
        <v>78000</v>
      </c>
      <c r="P125" s="97"/>
    </row>
    <row r="126" spans="1:23">
      <c r="A126" s="168"/>
      <c r="B126" s="202"/>
      <c r="C126" s="203"/>
      <c r="D126" s="203"/>
      <c r="E126" s="203"/>
      <c r="F126" s="203"/>
      <c r="G126" s="203"/>
      <c r="H126" s="204"/>
      <c r="I126" s="210"/>
      <c r="J126" s="211"/>
      <c r="K126" s="96"/>
      <c r="L126" s="97"/>
      <c r="M126" s="96"/>
      <c r="N126" s="97"/>
      <c r="O126" s="96"/>
      <c r="P126" s="97"/>
    </row>
    <row r="127" spans="1:23">
      <c r="A127" s="139"/>
      <c r="B127" s="205"/>
      <c r="C127" s="206"/>
      <c r="D127" s="206"/>
      <c r="E127" s="206"/>
      <c r="F127" s="206"/>
      <c r="G127" s="206"/>
      <c r="H127" s="207"/>
      <c r="I127" s="212"/>
      <c r="J127" s="213"/>
      <c r="K127" s="96"/>
      <c r="L127" s="97"/>
      <c r="M127" s="96"/>
      <c r="N127" s="97"/>
      <c r="O127" s="96"/>
      <c r="P127" s="97"/>
    </row>
    <row r="128" spans="1:23" ht="15" customHeight="1">
      <c r="A128" s="131"/>
      <c r="B128" s="136" t="s">
        <v>54</v>
      </c>
      <c r="C128" s="136"/>
      <c r="D128" s="136"/>
      <c r="E128" s="136"/>
      <c r="F128" s="136"/>
      <c r="G128" s="136"/>
      <c r="H128" s="136"/>
      <c r="I128" s="196">
        <f>I119-I125</f>
        <v>79255.131999999983</v>
      </c>
      <c r="J128" s="196"/>
    </row>
    <row r="129" spans="1:10">
      <c r="A129" s="131"/>
      <c r="B129" s="136"/>
      <c r="C129" s="136"/>
      <c r="D129" s="136"/>
      <c r="E129" s="136"/>
      <c r="F129" s="136"/>
      <c r="G129" s="136"/>
      <c r="H129" s="136"/>
      <c r="I129" s="196"/>
      <c r="J129" s="196"/>
    </row>
    <row r="130" spans="1:10">
      <c r="A130" s="47"/>
      <c r="B130" s="197"/>
      <c r="C130" s="197"/>
      <c r="D130" s="197"/>
      <c r="E130" s="197"/>
      <c r="F130" s="197"/>
      <c r="G130" s="197"/>
      <c r="H130" s="197"/>
      <c r="I130" s="197"/>
      <c r="J130" s="197"/>
    </row>
    <row r="131" spans="1:10">
      <c r="A131" s="47"/>
      <c r="B131" s="198"/>
      <c r="C131" s="198"/>
      <c r="D131" s="198"/>
      <c r="E131" s="198"/>
      <c r="F131" s="198"/>
      <c r="G131" s="198"/>
      <c r="H131" s="198"/>
      <c r="I131" s="198"/>
      <c r="J131" s="198"/>
    </row>
    <row r="132" spans="1:10">
      <c r="A132" s="47"/>
      <c r="B132" s="46"/>
      <c r="C132" s="46"/>
      <c r="D132" s="46"/>
      <c r="E132" s="46"/>
      <c r="F132" s="46"/>
      <c r="G132" s="46"/>
      <c r="H132" s="46"/>
      <c r="I132" s="48"/>
      <c r="J132" s="48"/>
    </row>
    <row r="133" spans="1:10">
      <c r="A133" s="47"/>
      <c r="B133" s="46"/>
      <c r="C133" s="46"/>
      <c r="D133" s="46"/>
      <c r="E133" s="46"/>
      <c r="F133" s="46"/>
      <c r="G133" s="46"/>
      <c r="H133" s="46"/>
      <c r="I133" s="48"/>
      <c r="J133" s="48"/>
    </row>
    <row r="135" spans="1:10" ht="19.5" thickBot="1">
      <c r="A135" s="115" t="s">
        <v>55</v>
      </c>
      <c r="B135" s="115"/>
      <c r="C135" s="115"/>
      <c r="D135" s="115"/>
      <c r="E135" s="115"/>
      <c r="F135" s="115" t="s">
        <v>56</v>
      </c>
      <c r="G135" s="115"/>
      <c r="H135" s="115"/>
      <c r="I135" s="115"/>
      <c r="J135" s="115"/>
    </row>
    <row r="136" spans="1:10" ht="15.75" thickTop="1">
      <c r="A136" s="220"/>
      <c r="B136" s="220"/>
      <c r="C136" s="12"/>
      <c r="D136" s="12"/>
      <c r="E136" s="7"/>
    </row>
    <row r="137" spans="1:10">
      <c r="A137" s="218" t="s">
        <v>62</v>
      </c>
      <c r="B137" s="218"/>
      <c r="C137" s="218" t="s">
        <v>63</v>
      </c>
      <c r="D137" s="218"/>
      <c r="E137" s="219"/>
      <c r="F137" s="217" t="s">
        <v>69</v>
      </c>
      <c r="G137" s="111"/>
      <c r="H137" s="111"/>
      <c r="I137" s="111"/>
      <c r="J137" s="111"/>
    </row>
    <row r="138" spans="1:10" ht="9.9499999999999993" customHeight="1">
      <c r="A138" s="218"/>
      <c r="B138" s="218"/>
      <c r="C138" s="218"/>
      <c r="D138" s="218"/>
      <c r="E138" s="219"/>
      <c r="F138" s="217"/>
      <c r="G138" s="111"/>
      <c r="H138" s="111"/>
      <c r="I138" s="111"/>
      <c r="J138" s="111"/>
    </row>
    <row r="139" spans="1:10">
      <c r="A139" s="218" t="s">
        <v>61</v>
      </c>
      <c r="B139" s="218"/>
      <c r="C139" s="218" t="s">
        <v>64</v>
      </c>
      <c r="D139" s="218"/>
      <c r="E139" s="219"/>
      <c r="F139" s="217" t="s">
        <v>70</v>
      </c>
      <c r="G139" s="111"/>
      <c r="H139" s="111"/>
      <c r="I139" s="111"/>
      <c r="J139" s="111"/>
    </row>
    <row r="140" spans="1:10" ht="9.9499999999999993" customHeight="1">
      <c r="A140" s="218"/>
      <c r="B140" s="218"/>
      <c r="C140" s="218"/>
      <c r="D140" s="218"/>
      <c r="E140" s="219"/>
      <c r="F140" s="217"/>
      <c r="G140" s="111"/>
      <c r="H140" s="111"/>
      <c r="I140" s="111"/>
      <c r="J140" s="111"/>
    </row>
    <row r="141" spans="1:10">
      <c r="A141" s="218" t="s">
        <v>60</v>
      </c>
      <c r="B141" s="218"/>
      <c r="C141" s="238" t="s">
        <v>65</v>
      </c>
      <c r="D141" s="238"/>
      <c r="E141" s="239"/>
      <c r="F141" s="217" t="s">
        <v>71</v>
      </c>
      <c r="G141" s="111"/>
      <c r="H141" s="111"/>
      <c r="I141" s="111"/>
      <c r="J141" s="111"/>
    </row>
    <row r="142" spans="1:10" ht="9.9499999999999993" customHeight="1">
      <c r="A142" s="218"/>
      <c r="B142" s="218"/>
      <c r="C142" s="218"/>
      <c r="D142" s="218"/>
      <c r="E142" s="219"/>
      <c r="F142" s="217"/>
      <c r="G142" s="111"/>
      <c r="H142" s="111"/>
      <c r="I142" s="111"/>
      <c r="J142" s="111"/>
    </row>
    <row r="143" spans="1:10">
      <c r="A143" s="218" t="s">
        <v>59</v>
      </c>
      <c r="B143" s="218"/>
      <c r="C143" s="218" t="s">
        <v>66</v>
      </c>
      <c r="D143" s="218"/>
      <c r="E143" s="219"/>
      <c r="F143" s="217" t="s">
        <v>87</v>
      </c>
      <c r="G143" s="111"/>
      <c r="H143" s="111"/>
      <c r="I143" s="111"/>
      <c r="J143" s="111"/>
    </row>
    <row r="144" spans="1:10" ht="9.9499999999999993" customHeight="1">
      <c r="A144" s="218"/>
      <c r="B144" s="218"/>
      <c r="C144" s="218"/>
      <c r="D144" s="218"/>
      <c r="E144" s="219"/>
      <c r="F144" s="217"/>
      <c r="G144" s="111"/>
      <c r="H144" s="111"/>
      <c r="I144" s="111"/>
      <c r="J144" s="111"/>
    </row>
    <row r="145" spans="1:10">
      <c r="A145" s="218" t="s">
        <v>58</v>
      </c>
      <c r="B145" s="218"/>
      <c r="C145" s="218" t="s">
        <v>67</v>
      </c>
      <c r="D145" s="218"/>
      <c r="E145" s="219"/>
      <c r="F145" s="217" t="s">
        <v>72</v>
      </c>
      <c r="G145" s="111"/>
      <c r="H145" s="111"/>
      <c r="I145" s="111"/>
      <c r="J145" s="111"/>
    </row>
    <row r="146" spans="1:10" ht="9.9499999999999993" customHeight="1">
      <c r="A146" s="218"/>
      <c r="B146" s="218"/>
      <c r="C146" s="218"/>
      <c r="D146" s="218"/>
      <c r="E146" s="219"/>
      <c r="F146" s="217"/>
      <c r="G146" s="111"/>
      <c r="H146" s="111"/>
      <c r="I146" s="111"/>
      <c r="J146" s="111"/>
    </row>
    <row r="147" spans="1:10">
      <c r="A147" s="218" t="s">
        <v>57</v>
      </c>
      <c r="B147" s="218"/>
      <c r="C147" s="218" t="s">
        <v>68</v>
      </c>
      <c r="D147" s="218"/>
      <c r="E147" s="219"/>
      <c r="F147" s="217" t="s">
        <v>73</v>
      </c>
      <c r="G147" s="111"/>
      <c r="H147" s="111"/>
      <c r="I147" s="111"/>
      <c r="J147" s="111"/>
    </row>
    <row r="148" spans="1:10">
      <c r="F148" s="217"/>
      <c r="G148" s="111"/>
      <c r="H148" s="111"/>
      <c r="I148" s="111"/>
      <c r="J148" s="111"/>
    </row>
    <row r="149" spans="1:10">
      <c r="F149" s="217"/>
      <c r="G149" s="111"/>
      <c r="H149" s="111"/>
      <c r="I149" s="111"/>
      <c r="J149" s="111"/>
    </row>
    <row r="150" spans="1:10">
      <c r="F150" s="217"/>
      <c r="G150" s="111"/>
      <c r="H150" s="111"/>
      <c r="I150" s="111"/>
      <c r="J150" s="111"/>
    </row>
    <row r="151" spans="1:10">
      <c r="F151" s="217"/>
      <c r="G151" s="111"/>
      <c r="H151" s="111"/>
      <c r="I151" s="111"/>
      <c r="J151" s="111"/>
    </row>
    <row r="152" spans="1:10" ht="19.5" thickBot="1">
      <c r="A152" s="115" t="s">
        <v>88</v>
      </c>
      <c r="B152" s="115"/>
      <c r="C152" s="115"/>
      <c r="D152" s="115"/>
      <c r="E152" s="115"/>
      <c r="F152" s="115"/>
      <c r="G152" s="115"/>
      <c r="H152" s="115"/>
      <c r="I152" s="115"/>
      <c r="J152" s="115"/>
    </row>
    <row r="153" spans="1:10" ht="15.75" thickTop="1"/>
    <row r="154" spans="1:10" ht="16.5">
      <c r="A154" s="110" t="s">
        <v>89</v>
      </c>
      <c r="B154" s="110"/>
      <c r="C154" s="110"/>
      <c r="D154" s="8">
        <f>H37</f>
        <v>3</v>
      </c>
      <c r="E154" s="6" t="s">
        <v>125</v>
      </c>
      <c r="F154" s="235"/>
      <c r="G154" s="235"/>
      <c r="H154" s="235"/>
      <c r="I154" s="97"/>
      <c r="J154" s="97"/>
    </row>
    <row r="155" spans="1:10">
      <c r="A155" s="97"/>
      <c r="B155" s="97"/>
      <c r="C155" s="97"/>
    </row>
    <row r="156" spans="1:10" ht="16.5">
      <c r="A156" s="110" t="s">
        <v>156</v>
      </c>
      <c r="B156" s="110"/>
      <c r="C156" s="110"/>
      <c r="D156" s="6" t="str">
        <f>CONCATENATE(D154*5.025, ,DATA!N12)</f>
        <v>15.075Unit</v>
      </c>
      <c r="E156" s="16"/>
      <c r="F156" s="110" t="s">
        <v>90</v>
      </c>
      <c r="G156" s="110"/>
      <c r="H156" s="236" t="str">
        <f>CONCATENATE(DATA!L15,  ,DATA!N13)</f>
        <v>46428Rupees</v>
      </c>
      <c r="I156" s="236"/>
      <c r="J156" s="16"/>
    </row>
    <row r="157" spans="1:10">
      <c r="A157" s="97"/>
      <c r="B157" s="97"/>
      <c r="C157" s="97"/>
    </row>
    <row r="158" spans="1:10" ht="16.5">
      <c r="A158" s="101" t="s">
        <v>91</v>
      </c>
      <c r="B158" s="101"/>
      <c r="C158" s="101"/>
      <c r="D158" s="110" t="str">
        <f>CONCATENATE(DATA!K15,  ,DATA!N9)</f>
        <v>5804Kwh</v>
      </c>
      <c r="E158" s="110"/>
      <c r="F158" s="110" t="s">
        <v>92</v>
      </c>
      <c r="G158" s="110"/>
      <c r="H158" s="110" t="str">
        <f>CONCATENATE(DATA!L15*25,   ,DATA!N13)</f>
        <v>1160700Rupees</v>
      </c>
      <c r="I158" s="110"/>
      <c r="J158" s="6"/>
    </row>
    <row r="159" spans="1:10">
      <c r="A159" s="97"/>
      <c r="B159" s="97"/>
      <c r="C159" s="97"/>
    </row>
    <row r="194" spans="1:10">
      <c r="A194" s="225" t="s">
        <v>93</v>
      </c>
      <c r="B194" s="225"/>
    </row>
    <row r="195" spans="1:10" ht="15" customHeight="1">
      <c r="A195" s="222">
        <v>1</v>
      </c>
      <c r="B195" s="125" t="s">
        <v>94</v>
      </c>
      <c r="C195" s="125"/>
      <c r="D195" s="125"/>
      <c r="E195" s="125"/>
      <c r="F195" s="125"/>
      <c r="G195" s="125"/>
      <c r="H195" s="125"/>
      <c r="I195" s="125"/>
      <c r="J195" s="125"/>
    </row>
    <row r="196" spans="1:10">
      <c r="A196" s="222"/>
      <c r="B196" s="125"/>
      <c r="C196" s="125"/>
      <c r="D196" s="125"/>
      <c r="E196" s="125"/>
      <c r="F196" s="125"/>
      <c r="G196" s="125"/>
      <c r="H196" s="125"/>
      <c r="I196" s="125"/>
      <c r="J196" s="125"/>
    </row>
    <row r="197" spans="1:10">
      <c r="A197" s="2"/>
      <c r="B197" s="221"/>
      <c r="C197" s="221"/>
      <c r="D197" s="221"/>
      <c r="E197" s="221"/>
      <c r="F197" s="221"/>
      <c r="G197" s="221"/>
      <c r="H197" s="221"/>
      <c r="I197" s="221"/>
      <c r="J197" s="221"/>
    </row>
    <row r="198" spans="1:10">
      <c r="A198" s="2"/>
      <c r="B198" s="221"/>
      <c r="C198" s="221"/>
      <c r="D198" s="221"/>
      <c r="E198" s="221"/>
      <c r="F198" s="221"/>
      <c r="G198" s="221"/>
      <c r="H198" s="221"/>
      <c r="I198" s="221"/>
      <c r="J198" s="221"/>
    </row>
    <row r="199" spans="1:10">
      <c r="A199" s="2"/>
      <c r="B199" s="221"/>
      <c r="C199" s="221"/>
      <c r="D199" s="221"/>
      <c r="E199" s="221"/>
      <c r="F199" s="221"/>
      <c r="G199" s="221"/>
      <c r="H199" s="221"/>
      <c r="I199" s="221"/>
      <c r="J199" s="221"/>
    </row>
    <row r="200" spans="1:10">
      <c r="B200" s="221"/>
      <c r="C200" s="221"/>
      <c r="D200" s="221"/>
      <c r="E200" s="221"/>
      <c r="F200" s="221"/>
      <c r="G200" s="221"/>
      <c r="H200" s="221"/>
      <c r="I200" s="221"/>
      <c r="J200" s="221"/>
    </row>
    <row r="201" spans="1:10" ht="19.5" thickBot="1">
      <c r="A201" s="115" t="s">
        <v>74</v>
      </c>
      <c r="B201" s="115"/>
      <c r="C201" s="115"/>
      <c r="D201" s="115"/>
      <c r="E201" s="115"/>
      <c r="F201" s="115"/>
      <c r="G201" s="115"/>
      <c r="H201" s="115"/>
      <c r="I201" s="115"/>
      <c r="J201" s="115"/>
    </row>
    <row r="202" spans="1:10" ht="15.75" thickTop="1">
      <c r="A202" s="140">
        <v>1</v>
      </c>
      <c r="B202" s="223" t="s">
        <v>255</v>
      </c>
      <c r="C202" s="223"/>
      <c r="D202" s="223"/>
      <c r="E202" s="223"/>
      <c r="F202" s="223"/>
      <c r="G202" s="223"/>
      <c r="H202" s="223"/>
      <c r="I202" s="223"/>
      <c r="J202" s="223"/>
    </row>
    <row r="203" spans="1:10">
      <c r="A203" s="132"/>
      <c r="B203" s="224"/>
      <c r="C203" s="224"/>
      <c r="D203" s="224"/>
      <c r="E203" s="224"/>
      <c r="F203" s="224"/>
      <c r="G203" s="224"/>
      <c r="H203" s="224"/>
      <c r="I203" s="224"/>
      <c r="J203" s="224"/>
    </row>
    <row r="204" spans="1:10" ht="15" customHeight="1">
      <c r="A204" s="132">
        <v>2</v>
      </c>
      <c r="B204" s="224" t="s">
        <v>79</v>
      </c>
      <c r="C204" s="224"/>
      <c r="D204" s="224"/>
      <c r="E204" s="224"/>
      <c r="F204" s="224"/>
      <c r="G204" s="224"/>
      <c r="H204" s="224"/>
      <c r="I204" s="224"/>
      <c r="J204" s="224"/>
    </row>
    <row r="205" spans="1:10">
      <c r="A205" s="132"/>
      <c r="B205" s="224"/>
      <c r="C205" s="224"/>
      <c r="D205" s="224"/>
      <c r="E205" s="224"/>
      <c r="F205" s="224"/>
      <c r="G205" s="224"/>
      <c r="H205" s="224"/>
      <c r="I205" s="224"/>
      <c r="J205" s="224"/>
    </row>
    <row r="206" spans="1:10">
      <c r="A206" s="132"/>
      <c r="B206" s="224"/>
      <c r="C206" s="224"/>
      <c r="D206" s="224"/>
      <c r="E206" s="224"/>
      <c r="F206" s="224"/>
      <c r="G206" s="224"/>
      <c r="H206" s="224"/>
      <c r="I206" s="224"/>
      <c r="J206" s="224"/>
    </row>
    <row r="207" spans="1:10">
      <c r="A207" s="132"/>
      <c r="B207" s="224"/>
      <c r="C207" s="224"/>
      <c r="D207" s="224"/>
      <c r="E207" s="224"/>
      <c r="F207" s="224"/>
      <c r="G207" s="224"/>
      <c r="H207" s="224"/>
      <c r="I207" s="224"/>
      <c r="J207" s="224"/>
    </row>
    <row r="208" spans="1:10">
      <c r="A208" s="132"/>
      <c r="B208" s="224"/>
      <c r="C208" s="224"/>
      <c r="D208" s="224"/>
      <c r="E208" s="224"/>
      <c r="F208" s="224"/>
      <c r="G208" s="224"/>
      <c r="H208" s="224"/>
      <c r="I208" s="224"/>
      <c r="J208" s="224"/>
    </row>
    <row r="209" spans="1:10" ht="15" customHeight="1">
      <c r="A209" s="132">
        <v>3</v>
      </c>
      <c r="B209" s="224" t="s">
        <v>80</v>
      </c>
      <c r="C209" s="224"/>
      <c r="D209" s="224"/>
      <c r="E209" s="224"/>
      <c r="F209" s="224"/>
      <c r="G209" s="224"/>
      <c r="H209" s="224"/>
      <c r="I209" s="224"/>
      <c r="J209" s="224"/>
    </row>
    <row r="210" spans="1:10">
      <c r="A210" s="132"/>
      <c r="B210" s="224"/>
      <c r="C210" s="224"/>
      <c r="D210" s="224"/>
      <c r="E210" s="224"/>
      <c r="F210" s="224"/>
      <c r="G210" s="224"/>
      <c r="H210" s="224"/>
      <c r="I210" s="224"/>
      <c r="J210" s="224"/>
    </row>
    <row r="211" spans="1:10">
      <c r="A211" s="132"/>
      <c r="B211" s="224"/>
      <c r="C211" s="224"/>
      <c r="D211" s="224"/>
      <c r="E211" s="224"/>
      <c r="F211" s="224"/>
      <c r="G211" s="224"/>
      <c r="H211" s="224"/>
      <c r="I211" s="224"/>
      <c r="J211" s="224"/>
    </row>
    <row r="212" spans="1:10" ht="15" customHeight="1">
      <c r="A212" s="132">
        <v>4</v>
      </c>
      <c r="B212" s="136" t="s">
        <v>81</v>
      </c>
      <c r="C212" s="136"/>
      <c r="D212" s="136"/>
      <c r="E212" s="136"/>
      <c r="F212" s="136"/>
      <c r="G212" s="136"/>
      <c r="H212" s="136"/>
      <c r="I212" s="136"/>
      <c r="J212" s="136"/>
    </row>
    <row r="213" spans="1:10">
      <c r="A213" s="132"/>
      <c r="B213" s="136"/>
      <c r="C213" s="136"/>
      <c r="D213" s="136"/>
      <c r="E213" s="136"/>
      <c r="F213" s="136"/>
      <c r="G213" s="136"/>
      <c r="H213" s="136"/>
      <c r="I213" s="136"/>
      <c r="J213" s="136"/>
    </row>
    <row r="214" spans="1:10">
      <c r="A214" s="132"/>
      <c r="B214" s="136"/>
      <c r="C214" s="136"/>
      <c r="D214" s="136"/>
      <c r="E214" s="136"/>
      <c r="F214" s="136"/>
      <c r="G214" s="136"/>
      <c r="H214" s="136"/>
      <c r="I214" s="136"/>
      <c r="J214" s="136"/>
    </row>
    <row r="215" spans="1:10" ht="15" customHeight="1">
      <c r="A215" s="132">
        <v>5</v>
      </c>
      <c r="B215" s="136" t="s">
        <v>82</v>
      </c>
      <c r="C215" s="136"/>
      <c r="D215" s="136"/>
      <c r="E215" s="136"/>
      <c r="F215" s="136"/>
      <c r="G215" s="136"/>
      <c r="H215" s="136"/>
      <c r="I215" s="136"/>
      <c r="J215" s="136"/>
    </row>
    <row r="216" spans="1:10">
      <c r="A216" s="132"/>
      <c r="B216" s="136"/>
      <c r="C216" s="136"/>
      <c r="D216" s="136"/>
      <c r="E216" s="136"/>
      <c r="F216" s="136"/>
      <c r="G216" s="136"/>
      <c r="H216" s="136"/>
      <c r="I216" s="136"/>
      <c r="J216" s="136"/>
    </row>
    <row r="217" spans="1:10">
      <c r="A217" s="132"/>
      <c r="B217" s="136"/>
      <c r="C217" s="136"/>
      <c r="D217" s="136"/>
      <c r="E217" s="136"/>
      <c r="F217" s="136"/>
      <c r="G217" s="136"/>
      <c r="H217" s="136"/>
      <c r="I217" s="136"/>
      <c r="J217" s="136"/>
    </row>
    <row r="218" spans="1:10" ht="15" customHeight="1">
      <c r="A218" s="132">
        <v>6</v>
      </c>
      <c r="B218" s="136" t="s">
        <v>83</v>
      </c>
      <c r="C218" s="136"/>
      <c r="D218" s="136"/>
      <c r="E218" s="136"/>
      <c r="F218" s="136"/>
      <c r="G218" s="136"/>
      <c r="H218" s="136"/>
      <c r="I218" s="136"/>
      <c r="J218" s="136"/>
    </row>
    <row r="219" spans="1:10">
      <c r="A219" s="132"/>
      <c r="B219" s="136"/>
      <c r="C219" s="136"/>
      <c r="D219" s="136"/>
      <c r="E219" s="136"/>
      <c r="F219" s="136"/>
      <c r="G219" s="136"/>
      <c r="H219" s="136"/>
      <c r="I219" s="136"/>
      <c r="J219" s="136"/>
    </row>
    <row r="220" spans="1:10">
      <c r="A220" s="132"/>
      <c r="B220" s="136"/>
      <c r="C220" s="136"/>
      <c r="D220" s="136"/>
      <c r="E220" s="136"/>
      <c r="F220" s="136"/>
      <c r="G220" s="136"/>
      <c r="H220" s="136"/>
      <c r="I220" s="136"/>
      <c r="J220" s="136"/>
    </row>
    <row r="221" spans="1:10">
      <c r="A221" s="132">
        <v>7</v>
      </c>
      <c r="B221" s="136" t="s">
        <v>84</v>
      </c>
      <c r="C221" s="136"/>
      <c r="D221" s="136"/>
      <c r="E221" s="136"/>
      <c r="F221" s="136"/>
      <c r="G221" s="136"/>
      <c r="H221" s="136"/>
      <c r="I221" s="136"/>
      <c r="J221" s="136"/>
    </row>
    <row r="222" spans="1:10">
      <c r="A222" s="132"/>
      <c r="B222" s="136"/>
      <c r="C222" s="136"/>
      <c r="D222" s="136"/>
      <c r="E222" s="136"/>
      <c r="F222" s="136"/>
      <c r="G222" s="136"/>
      <c r="H222" s="136"/>
      <c r="I222" s="136"/>
      <c r="J222" s="136"/>
    </row>
    <row r="223" spans="1:10">
      <c r="A223" s="132"/>
      <c r="B223" s="136"/>
      <c r="C223" s="136"/>
      <c r="D223" s="136"/>
      <c r="E223" s="136"/>
      <c r="F223" s="136"/>
      <c r="G223" s="136"/>
      <c r="H223" s="136"/>
      <c r="I223" s="136"/>
      <c r="J223" s="136"/>
    </row>
    <row r="224" spans="1:10">
      <c r="A224" s="132">
        <v>8</v>
      </c>
      <c r="B224" s="237" t="s">
        <v>85</v>
      </c>
      <c r="C224" s="136"/>
      <c r="D224" s="136"/>
      <c r="E224" s="136"/>
      <c r="F224" s="136"/>
      <c r="G224" s="136"/>
      <c r="H224" s="136"/>
      <c r="I224" s="136"/>
      <c r="J224" s="136"/>
    </row>
    <row r="225" spans="1:10">
      <c r="A225" s="132"/>
      <c r="B225" s="136"/>
      <c r="C225" s="136"/>
      <c r="D225" s="136"/>
      <c r="E225" s="136"/>
      <c r="F225" s="136"/>
      <c r="G225" s="136"/>
      <c r="H225" s="136"/>
      <c r="I225" s="136"/>
      <c r="J225" s="136"/>
    </row>
    <row r="226" spans="1:10">
      <c r="A226" s="132"/>
      <c r="B226" s="136"/>
      <c r="C226" s="136"/>
      <c r="D226" s="136"/>
      <c r="E226" s="136"/>
      <c r="F226" s="136"/>
      <c r="G226" s="136"/>
      <c r="H226" s="136"/>
      <c r="I226" s="136"/>
      <c r="J226" s="136"/>
    </row>
    <row r="227" spans="1:10">
      <c r="A227" s="132">
        <v>9</v>
      </c>
      <c r="B227" s="136" t="s">
        <v>76</v>
      </c>
      <c r="C227" s="136"/>
      <c r="D227" s="136"/>
      <c r="E227" s="136"/>
      <c r="F227" s="136"/>
      <c r="G227" s="136"/>
      <c r="H227" s="136"/>
      <c r="I227" s="136"/>
      <c r="J227" s="136"/>
    </row>
    <row r="228" spans="1:10">
      <c r="A228" s="132"/>
      <c r="B228" s="136"/>
      <c r="C228" s="136"/>
      <c r="D228" s="136"/>
      <c r="E228" s="136"/>
      <c r="F228" s="136"/>
      <c r="G228" s="136"/>
      <c r="H228" s="136"/>
      <c r="I228" s="136"/>
      <c r="J228" s="136"/>
    </row>
    <row r="229" spans="1:10">
      <c r="A229" s="132">
        <v>10</v>
      </c>
      <c r="B229" s="136" t="s">
        <v>77</v>
      </c>
      <c r="C229" s="136"/>
      <c r="D229" s="136"/>
      <c r="E229" s="136"/>
      <c r="F229" s="136"/>
      <c r="G229" s="136"/>
      <c r="H229" s="136"/>
      <c r="I229" s="136"/>
      <c r="J229" s="136"/>
    </row>
    <row r="230" spans="1:10">
      <c r="A230" s="132"/>
      <c r="B230" s="136"/>
      <c r="C230" s="136"/>
      <c r="D230" s="136"/>
      <c r="E230" s="136"/>
      <c r="F230" s="136"/>
      <c r="G230" s="136"/>
      <c r="H230" s="136"/>
      <c r="I230" s="136"/>
      <c r="J230" s="136"/>
    </row>
    <row r="231" spans="1:10">
      <c r="A231" s="132"/>
      <c r="B231" s="136"/>
      <c r="C231" s="136"/>
      <c r="D231" s="136"/>
      <c r="E231" s="136"/>
      <c r="F231" s="136"/>
      <c r="G231" s="136"/>
      <c r="H231" s="136"/>
      <c r="I231" s="136"/>
      <c r="J231" s="136"/>
    </row>
    <row r="232" spans="1:10" ht="15" customHeight="1">
      <c r="A232" s="132">
        <v>11</v>
      </c>
      <c r="B232" s="136" t="s">
        <v>86</v>
      </c>
      <c r="C232" s="136"/>
      <c r="D232" s="136"/>
      <c r="E232" s="136"/>
      <c r="F232" s="136"/>
      <c r="G232" s="136"/>
      <c r="H232" s="136"/>
      <c r="I232" s="136"/>
      <c r="J232" s="136"/>
    </row>
    <row r="233" spans="1:10">
      <c r="A233" s="132"/>
      <c r="B233" s="136"/>
      <c r="C233" s="136"/>
      <c r="D233" s="136"/>
      <c r="E233" s="136"/>
      <c r="F233" s="136"/>
      <c r="G233" s="136"/>
      <c r="H233" s="136"/>
      <c r="I233" s="136"/>
      <c r="J233" s="136"/>
    </row>
    <row r="234" spans="1:10">
      <c r="A234" s="132"/>
      <c r="B234" s="136"/>
      <c r="C234" s="136"/>
      <c r="D234" s="136"/>
      <c r="E234" s="136"/>
      <c r="F234" s="136"/>
      <c r="G234" s="136"/>
      <c r="H234" s="136"/>
      <c r="I234" s="136"/>
      <c r="J234" s="136"/>
    </row>
    <row r="235" spans="1:10">
      <c r="A235" s="132"/>
      <c r="B235" s="136"/>
      <c r="C235" s="136"/>
      <c r="D235" s="136"/>
      <c r="E235" s="136"/>
      <c r="F235" s="136"/>
      <c r="G235" s="136"/>
      <c r="H235" s="136"/>
      <c r="I235" s="136"/>
      <c r="J235" s="136"/>
    </row>
    <row r="236" spans="1:10">
      <c r="A236" s="132"/>
      <c r="B236" s="136"/>
      <c r="C236" s="136"/>
      <c r="D236" s="136"/>
      <c r="E236" s="136"/>
      <c r="F236" s="136"/>
      <c r="G236" s="136"/>
      <c r="H236" s="136"/>
      <c r="I236" s="136"/>
      <c r="J236" s="136"/>
    </row>
    <row r="237" spans="1:10" ht="15" customHeight="1">
      <c r="A237" s="132">
        <v>12</v>
      </c>
      <c r="B237" s="136" t="s">
        <v>78</v>
      </c>
      <c r="C237" s="136"/>
      <c r="D237" s="136"/>
      <c r="E237" s="136"/>
      <c r="F237" s="136"/>
      <c r="G237" s="136"/>
      <c r="H237" s="136"/>
      <c r="I237" s="136"/>
      <c r="J237" s="136"/>
    </row>
    <row r="238" spans="1:10">
      <c r="A238" s="132"/>
      <c r="B238" s="136"/>
      <c r="C238" s="136"/>
      <c r="D238" s="136"/>
      <c r="E238" s="136"/>
      <c r="F238" s="136"/>
      <c r="G238" s="136"/>
      <c r="H238" s="136"/>
      <c r="I238" s="136"/>
      <c r="J238" s="136"/>
    </row>
    <row r="239" spans="1:10">
      <c r="A239" s="132"/>
      <c r="B239" s="136"/>
      <c r="C239" s="136"/>
      <c r="D239" s="136"/>
      <c r="E239" s="136"/>
      <c r="F239" s="136"/>
      <c r="G239" s="136"/>
      <c r="H239" s="136"/>
      <c r="I239" s="136"/>
      <c r="J239" s="136"/>
    </row>
    <row r="240" spans="1:10">
      <c r="A240" s="132"/>
      <c r="B240" s="136"/>
      <c r="C240" s="136"/>
      <c r="D240" s="136"/>
      <c r="E240" s="136"/>
      <c r="F240" s="136"/>
      <c r="G240" s="136"/>
      <c r="H240" s="136"/>
      <c r="I240" s="136"/>
      <c r="J240" s="136"/>
    </row>
    <row r="242" spans="1:10" ht="18.75">
      <c r="A242" s="234" t="s">
        <v>95</v>
      </c>
      <c r="B242" s="234"/>
      <c r="C242" s="234"/>
      <c r="D242" s="234"/>
      <c r="E242" s="234"/>
      <c r="F242" s="234"/>
      <c r="G242" s="234"/>
      <c r="H242" s="234"/>
      <c r="I242" s="234"/>
      <c r="J242" s="234"/>
    </row>
    <row r="243" spans="1:10">
      <c r="A243" s="147" t="s">
        <v>189</v>
      </c>
      <c r="B243" s="147"/>
      <c r="C243" s="147"/>
      <c r="D243" s="147"/>
      <c r="E243" s="147"/>
      <c r="F243" s="147" t="str">
        <f>C11</f>
        <v>Dr Aashish</v>
      </c>
      <c r="G243" s="147"/>
      <c r="H243" s="147"/>
      <c r="I243" s="147"/>
      <c r="J243" s="147"/>
    </row>
    <row r="244" spans="1:10">
      <c r="A244" s="147"/>
      <c r="B244" s="147"/>
      <c r="C244" s="147"/>
      <c r="D244" s="147"/>
      <c r="E244" s="147"/>
      <c r="F244" s="147"/>
      <c r="G244" s="147"/>
      <c r="H244" s="147"/>
      <c r="I244" s="147"/>
      <c r="J244" s="147"/>
    </row>
    <row r="245" spans="1:10">
      <c r="A245" s="147"/>
      <c r="B245" s="147"/>
      <c r="C245" s="147"/>
      <c r="D245" s="147"/>
      <c r="E245" s="147"/>
      <c r="F245" s="147"/>
      <c r="G245" s="147"/>
      <c r="H245" s="147"/>
      <c r="I245" s="147"/>
      <c r="J245" s="147"/>
    </row>
    <row r="246" spans="1:10">
      <c r="A246" s="147"/>
      <c r="B246" s="147"/>
      <c r="C246" s="147"/>
      <c r="D246" s="147"/>
      <c r="E246" s="147"/>
      <c r="F246" s="147"/>
      <c r="G246" s="147"/>
      <c r="H246" s="147"/>
      <c r="I246" s="147"/>
      <c r="J246" s="147"/>
    </row>
    <row r="247" spans="1:10">
      <c r="A247" s="147"/>
      <c r="B247" s="147"/>
      <c r="C247" s="147"/>
      <c r="D247" s="147"/>
      <c r="E247" s="147"/>
      <c r="F247" s="147"/>
      <c r="G247" s="147"/>
      <c r="H247" s="147"/>
      <c r="I247" s="147"/>
      <c r="J247" s="147"/>
    </row>
    <row r="248" spans="1:10">
      <c r="A248" s="147"/>
      <c r="B248" s="147"/>
      <c r="C248" s="147"/>
      <c r="D248" s="147"/>
      <c r="E248" s="147"/>
      <c r="F248" s="147"/>
      <c r="G248" s="147"/>
      <c r="H248" s="147"/>
      <c r="I248" s="147"/>
      <c r="J248" s="147"/>
    </row>
    <row r="249" spans="1:10">
      <c r="A249" s="147"/>
      <c r="B249" s="147"/>
      <c r="C249" s="147"/>
      <c r="D249" s="147"/>
      <c r="E249" s="147"/>
      <c r="F249" s="147"/>
      <c r="G249" s="147"/>
      <c r="H249" s="147"/>
      <c r="I249" s="147"/>
      <c r="J249" s="147"/>
    </row>
  </sheetData>
  <mergeCells count="331">
    <mergeCell ref="N117:N118"/>
    <mergeCell ref="O117:Q118"/>
    <mergeCell ref="R117:R118"/>
    <mergeCell ref="S117:S118"/>
    <mergeCell ref="T117:U118"/>
    <mergeCell ref="V117:W118"/>
    <mergeCell ref="K125:L127"/>
    <mergeCell ref="K123:L124"/>
    <mergeCell ref="M123:N124"/>
    <mergeCell ref="M125:N127"/>
    <mergeCell ref="C137:E137"/>
    <mergeCell ref="C138:E138"/>
    <mergeCell ref="A137:B137"/>
    <mergeCell ref="F149:J149"/>
    <mergeCell ref="A140:B140"/>
    <mergeCell ref="A141:B141"/>
    <mergeCell ref="A145:B145"/>
    <mergeCell ref="A146:B146"/>
    <mergeCell ref="C139:E139"/>
    <mergeCell ref="C140:E140"/>
    <mergeCell ref="C141:E141"/>
    <mergeCell ref="C142:E142"/>
    <mergeCell ref="A142:B142"/>
    <mergeCell ref="A143:B143"/>
    <mergeCell ref="A144:B144"/>
    <mergeCell ref="F141:J141"/>
    <mergeCell ref="A138:B138"/>
    <mergeCell ref="F150:J150"/>
    <mergeCell ref="F151:J151"/>
    <mergeCell ref="F148:J148"/>
    <mergeCell ref="B229:J231"/>
    <mergeCell ref="A194:B194"/>
    <mergeCell ref="G119:H120"/>
    <mergeCell ref="B119:F120"/>
    <mergeCell ref="A242:J242"/>
    <mergeCell ref="F156:G156"/>
    <mergeCell ref="F158:G158"/>
    <mergeCell ref="H158:I158"/>
    <mergeCell ref="I154:J154"/>
    <mergeCell ref="A157:C157"/>
    <mergeCell ref="A159:C159"/>
    <mergeCell ref="F154:H154"/>
    <mergeCell ref="A156:C156"/>
    <mergeCell ref="D158:E158"/>
    <mergeCell ref="A158:C158"/>
    <mergeCell ref="H156:I156"/>
    <mergeCell ref="B221:J223"/>
    <mergeCell ref="A221:A223"/>
    <mergeCell ref="A224:A226"/>
    <mergeCell ref="B224:J226"/>
    <mergeCell ref="B197:J197"/>
    <mergeCell ref="B198:J198"/>
    <mergeCell ref="B199:J199"/>
    <mergeCell ref="B200:J200"/>
    <mergeCell ref="B195:J196"/>
    <mergeCell ref="A195:A196"/>
    <mergeCell ref="B232:J236"/>
    <mergeCell ref="A232:A236"/>
    <mergeCell ref="B237:J240"/>
    <mergeCell ref="A237:A240"/>
    <mergeCell ref="B202:J203"/>
    <mergeCell ref="A202:A203"/>
    <mergeCell ref="B204:J208"/>
    <mergeCell ref="A204:A208"/>
    <mergeCell ref="B209:J211"/>
    <mergeCell ref="A227:A228"/>
    <mergeCell ref="B227:J228"/>
    <mergeCell ref="A229:A231"/>
    <mergeCell ref="B215:J217"/>
    <mergeCell ref="A215:A217"/>
    <mergeCell ref="B218:J220"/>
    <mergeCell ref="A218:A220"/>
    <mergeCell ref="A201:J201"/>
    <mergeCell ref="A209:A211"/>
    <mergeCell ref="B212:J214"/>
    <mergeCell ref="A212:A214"/>
    <mergeCell ref="C49:J50"/>
    <mergeCell ref="A49:B50"/>
    <mergeCell ref="A152:J152"/>
    <mergeCell ref="A154:C154"/>
    <mergeCell ref="A155:C155"/>
    <mergeCell ref="F142:J142"/>
    <mergeCell ref="F143:J143"/>
    <mergeCell ref="F144:J144"/>
    <mergeCell ref="F145:J145"/>
    <mergeCell ref="F146:J146"/>
    <mergeCell ref="F147:J147"/>
    <mergeCell ref="C143:E143"/>
    <mergeCell ref="C144:E144"/>
    <mergeCell ref="C145:E145"/>
    <mergeCell ref="C146:E146"/>
    <mergeCell ref="C147:E147"/>
    <mergeCell ref="F137:J137"/>
    <mergeCell ref="F138:J138"/>
    <mergeCell ref="F139:J139"/>
    <mergeCell ref="F140:J140"/>
    <mergeCell ref="A147:B147"/>
    <mergeCell ref="A136:B136"/>
    <mergeCell ref="A139:B139"/>
    <mergeCell ref="B113:D114"/>
    <mergeCell ref="E113:E114"/>
    <mergeCell ref="F113:F114"/>
    <mergeCell ref="G111:H112"/>
    <mergeCell ref="I111:J112"/>
    <mergeCell ref="B125:H127"/>
    <mergeCell ref="I125:J127"/>
    <mergeCell ref="I123:J124"/>
    <mergeCell ref="I117:J118"/>
    <mergeCell ref="A121:A122"/>
    <mergeCell ref="B121:H122"/>
    <mergeCell ref="I121:J122"/>
    <mergeCell ref="A135:E135"/>
    <mergeCell ref="F135:J135"/>
    <mergeCell ref="A128:A129"/>
    <mergeCell ref="I128:J129"/>
    <mergeCell ref="B128:H129"/>
    <mergeCell ref="A125:A127"/>
    <mergeCell ref="A123:A124"/>
    <mergeCell ref="B123:H124"/>
    <mergeCell ref="B130:J131"/>
    <mergeCell ref="A119:A120"/>
    <mergeCell ref="I119:J120"/>
    <mergeCell ref="I107:J108"/>
    <mergeCell ref="B107:H108"/>
    <mergeCell ref="A117:A118"/>
    <mergeCell ref="B117:D118"/>
    <mergeCell ref="E117:E118"/>
    <mergeCell ref="F117:F118"/>
    <mergeCell ref="G117:H118"/>
    <mergeCell ref="A115:A116"/>
    <mergeCell ref="B115:D116"/>
    <mergeCell ref="E115:E116"/>
    <mergeCell ref="F115:F116"/>
    <mergeCell ref="G115:H116"/>
    <mergeCell ref="I115:J116"/>
    <mergeCell ref="A113:A114"/>
    <mergeCell ref="A109:A110"/>
    <mergeCell ref="G113:H114"/>
    <mergeCell ref="I113:J114"/>
    <mergeCell ref="A111:A112"/>
    <mergeCell ref="B111:D112"/>
    <mergeCell ref="B109:D110"/>
    <mergeCell ref="E111:E112"/>
    <mergeCell ref="F111:F112"/>
    <mergeCell ref="A86:A88"/>
    <mergeCell ref="B86:C88"/>
    <mergeCell ref="D86:E88"/>
    <mergeCell ref="F86:H88"/>
    <mergeCell ref="I86:I88"/>
    <mergeCell ref="J86:J88"/>
    <mergeCell ref="E76:F76"/>
    <mergeCell ref="B83:C85"/>
    <mergeCell ref="E109:E110"/>
    <mergeCell ref="F109:F110"/>
    <mergeCell ref="G109:H110"/>
    <mergeCell ref="I109:J110"/>
    <mergeCell ref="A107:A108"/>
    <mergeCell ref="B103:D106"/>
    <mergeCell ref="E103:E106"/>
    <mergeCell ref="F103:F106"/>
    <mergeCell ref="G103:H106"/>
    <mergeCell ref="I103:J106"/>
    <mergeCell ref="A103:A106"/>
    <mergeCell ref="A100:J100"/>
    <mergeCell ref="I102:J102"/>
    <mergeCell ref="G102:H102"/>
    <mergeCell ref="B102:D102"/>
    <mergeCell ref="J80:J82"/>
    <mergeCell ref="F80:H82"/>
    <mergeCell ref="I80:I82"/>
    <mergeCell ref="F39:G39"/>
    <mergeCell ref="L40:M40"/>
    <mergeCell ref="F37:G37"/>
    <mergeCell ref="F38:G38"/>
    <mergeCell ref="F40:G40"/>
    <mergeCell ref="A42:C42"/>
    <mergeCell ref="A57:A59"/>
    <mergeCell ref="B57:C59"/>
    <mergeCell ref="D57:E59"/>
    <mergeCell ref="F57:H59"/>
    <mergeCell ref="I57:I59"/>
    <mergeCell ref="J57:J59"/>
    <mergeCell ref="A54:A56"/>
    <mergeCell ref="B54:C56"/>
    <mergeCell ref="D54:E56"/>
    <mergeCell ref="F54:H56"/>
    <mergeCell ref="I54:I56"/>
    <mergeCell ref="J54:J56"/>
    <mergeCell ref="B66:C68"/>
    <mergeCell ref="A60:A62"/>
    <mergeCell ref="B60:C62"/>
    <mergeCell ref="I73:J73"/>
    <mergeCell ref="A243:E249"/>
    <mergeCell ref="F243:J249"/>
    <mergeCell ref="A51:J51"/>
    <mergeCell ref="I72:J72"/>
    <mergeCell ref="E73:F73"/>
    <mergeCell ref="D83:E85"/>
    <mergeCell ref="F83:H85"/>
    <mergeCell ref="I83:I85"/>
    <mergeCell ref="J83:J85"/>
    <mergeCell ref="B71:D71"/>
    <mergeCell ref="B72:D72"/>
    <mergeCell ref="B73:D73"/>
    <mergeCell ref="B74:D74"/>
    <mergeCell ref="B75:D75"/>
    <mergeCell ref="B76:D76"/>
    <mergeCell ref="B77:D77"/>
    <mergeCell ref="G76:H76"/>
    <mergeCell ref="I76:J76"/>
    <mergeCell ref="E77:F77"/>
    <mergeCell ref="G77:H77"/>
    <mergeCell ref="A83:A85"/>
    <mergeCell ref="A80:A82"/>
    <mergeCell ref="B80:C82"/>
    <mergeCell ref="D80:E82"/>
    <mergeCell ref="D60:E62"/>
    <mergeCell ref="G74:H74"/>
    <mergeCell ref="I74:J74"/>
    <mergeCell ref="A69:J69"/>
    <mergeCell ref="A70:J70"/>
    <mergeCell ref="D66:E68"/>
    <mergeCell ref="F66:H68"/>
    <mergeCell ref="I66:I68"/>
    <mergeCell ref="J66:J68"/>
    <mergeCell ref="F60:H62"/>
    <mergeCell ref="I60:I62"/>
    <mergeCell ref="J60:J62"/>
    <mergeCell ref="A66:A68"/>
    <mergeCell ref="E75:F75"/>
    <mergeCell ref="G75:H75"/>
    <mergeCell ref="I75:J75"/>
    <mergeCell ref="A79:J79"/>
    <mergeCell ref="B78:D78"/>
    <mergeCell ref="E78:F78"/>
    <mergeCell ref="G78:H78"/>
    <mergeCell ref="I78:J78"/>
    <mergeCell ref="A63:A65"/>
    <mergeCell ref="B63:C65"/>
    <mergeCell ref="D63:E65"/>
    <mergeCell ref="F63:H65"/>
    <mergeCell ref="I63:I65"/>
    <mergeCell ref="J63:J65"/>
    <mergeCell ref="I77:J77"/>
    <mergeCell ref="E71:F71"/>
    <mergeCell ref="G71:H71"/>
    <mergeCell ref="I71:J71"/>
    <mergeCell ref="E72:F72"/>
    <mergeCell ref="G72:H72"/>
    <mergeCell ref="G73:H73"/>
    <mergeCell ref="E74:F74"/>
    <mergeCell ref="C1:H5"/>
    <mergeCell ref="A7:J7"/>
    <mergeCell ref="I1:J2"/>
    <mergeCell ref="A17:J17"/>
    <mergeCell ref="A18:J18"/>
    <mergeCell ref="A19:J34"/>
    <mergeCell ref="G11:H11"/>
    <mergeCell ref="A15:B15"/>
    <mergeCell ref="G12:H12"/>
    <mergeCell ref="G13:H13"/>
    <mergeCell ref="G14:H14"/>
    <mergeCell ref="C11:F12"/>
    <mergeCell ref="C13:F14"/>
    <mergeCell ref="G15:H15"/>
    <mergeCell ref="C15:F15"/>
    <mergeCell ref="I15:J15"/>
    <mergeCell ref="A9:J9"/>
    <mergeCell ref="A11:B11"/>
    <mergeCell ref="C6:H6"/>
    <mergeCell ref="H40:J40"/>
    <mergeCell ref="F41:G41"/>
    <mergeCell ref="C37:E37"/>
    <mergeCell ref="C39:E39"/>
    <mergeCell ref="L41:M41"/>
    <mergeCell ref="L38:M38"/>
    <mergeCell ref="H46:J46"/>
    <mergeCell ref="C45:E45"/>
    <mergeCell ref="L42:M42"/>
    <mergeCell ref="L39:M39"/>
    <mergeCell ref="L37:M37"/>
    <mergeCell ref="A40:C40"/>
    <mergeCell ref="A37:B37"/>
    <mergeCell ref="H48:J48"/>
    <mergeCell ref="L6:N6"/>
    <mergeCell ref="H41:J41"/>
    <mergeCell ref="F47:G48"/>
    <mergeCell ref="A12:B12"/>
    <mergeCell ref="A13:B13"/>
    <mergeCell ref="A14:B14"/>
    <mergeCell ref="I11:J11"/>
    <mergeCell ref="I13:J13"/>
    <mergeCell ref="F42:G42"/>
    <mergeCell ref="F46:G46"/>
    <mergeCell ref="I14:J14"/>
    <mergeCell ref="H42:J42"/>
    <mergeCell ref="F43:G43"/>
    <mergeCell ref="N37:P37"/>
    <mergeCell ref="N39:P39"/>
    <mergeCell ref="N41:P41"/>
    <mergeCell ref="A35:E35"/>
    <mergeCell ref="F35:J35"/>
    <mergeCell ref="A39:B39"/>
    <mergeCell ref="A41:B41"/>
    <mergeCell ref="A38:C38"/>
    <mergeCell ref="H38:J38"/>
    <mergeCell ref="H39:J39"/>
    <mergeCell ref="M103:M106"/>
    <mergeCell ref="O123:P124"/>
    <mergeCell ref="O125:P127"/>
    <mergeCell ref="K103:K106"/>
    <mergeCell ref="L103:L106"/>
    <mergeCell ref="N43:P43"/>
    <mergeCell ref="B53:C53"/>
    <mergeCell ref="D53:E53"/>
    <mergeCell ref="F53:H53"/>
    <mergeCell ref="N45:P46"/>
    <mergeCell ref="A43:B43"/>
    <mergeCell ref="A45:B45"/>
    <mergeCell ref="A47:B47"/>
    <mergeCell ref="A48:C48"/>
    <mergeCell ref="C47:E47"/>
    <mergeCell ref="F44:G44"/>
    <mergeCell ref="F45:G45"/>
    <mergeCell ref="A44:C44"/>
    <mergeCell ref="L43:M43"/>
    <mergeCell ref="L44:M44"/>
    <mergeCell ref="A46:C46"/>
    <mergeCell ref="H43:J43"/>
    <mergeCell ref="H44:J44"/>
    <mergeCell ref="H45:J45"/>
  </mergeCells>
  <printOptions horizontalCentered="1" verticalCentered="1"/>
  <pageMargins left="0.23622047244094491" right="0.23622047244094491" top="0.74803149606299213" bottom="0.74803149606299213" header="0" footer="0.31496062992125984"/>
  <pageSetup paperSize="9" scale="94" orientation="portrait" horizontalDpi="4294967293" r:id="rId1"/>
  <headerFooter>
    <oddHeader>&amp;C
&amp;G</oddHeader>
    <oddFooter>&amp;C&amp;"Bookman Old Style,Bold"HI - TECH SOLAR SOLUTION&amp;"-,Regular"
&amp;"Times New Roman,Regular"OFFICE - 2nd Floor Gujarat Light, Nr Mahila Police Station, Godhra Road, Dahod - 389151</oddFooter>
  </headerFooter>
  <rowBreaks count="4" manualBreakCount="4">
    <brk id="50" max="9" man="1"/>
    <brk id="99" max="9" man="1"/>
    <brk id="151" max="9" man="1"/>
    <brk id="200" max="9" man="1"/>
  </rowBreaks>
  <drawing r:id="rId2"/>
  <legacyDrawingHF r:id="rId3"/>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000-000000000000}">
          <x14:formula1>
            <xm:f>DATA!$D$3:$D$4</xm:f>
          </x14:formula1>
          <xm:sqref>I11:J11</xm:sqref>
        </x14:dataValidation>
        <x14:dataValidation type="list" allowBlank="1" showInputMessage="1" showErrorMessage="1" xr:uid="{00000000-0002-0000-0000-000001000000}">
          <x14:formula1>
            <xm:f>DATA!$E$2:$E$6</xm:f>
          </x14:formula1>
          <xm:sqref>I15:J15</xm:sqref>
        </x14:dataValidation>
        <x14:dataValidation type="list" allowBlank="1" showInputMessage="1" showErrorMessage="1" xr:uid="{00000000-0002-0000-0000-000002000000}">
          <x14:formula1>
            <xm:f>DATA!$W$2:$W$4</xm:f>
          </x14:formula1>
          <xm:sqref>C37:E37 H39:J39 H43:J43</xm:sqref>
        </x14:dataValidation>
        <x14:dataValidation type="list" allowBlank="1" showInputMessage="1" showErrorMessage="1" xr:uid="{00000000-0002-0000-0000-000003000000}">
          <x14:formula1>
            <xm:f>'PL Pahal (TOPCON)'!$D$10:$D$19</xm:f>
          </x14:formula1>
          <xm:sqref>H37</xm:sqref>
        </x14:dataValidation>
        <x14:dataValidation type="list" allowBlank="1" showInputMessage="1" showErrorMessage="1" xr:uid="{00000000-0002-0000-0000-000004000000}">
          <x14:formula1>
            <xm:f>DATA!$B$2:$B$7</xm:f>
          </x14:formula1>
          <xm:sqref>H47</xm:sqref>
        </x14:dataValidation>
        <x14:dataValidation type="list" allowBlank="1" showInputMessage="1" showErrorMessage="1" xr:uid="{00000000-0002-0000-0000-000005000000}">
          <x14:formula1>
            <xm:f>DATA!$G$2:$G$11</xm:f>
          </x14:formula1>
          <xm:sqref>H41:J41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BL65"/>
  <sheetViews>
    <sheetView topLeftCell="A3" zoomScaleNormal="100" workbookViewId="0">
      <selection activeCell="M10" sqref="M10"/>
    </sheetView>
  </sheetViews>
  <sheetFormatPr defaultRowHeight="15"/>
  <cols>
    <col min="1" max="3" width="11.85546875" style="33" customWidth="1"/>
    <col min="4" max="4" width="15.140625" style="33" bestFit="1" customWidth="1"/>
    <col min="5" max="5" width="11.85546875" style="33" customWidth="1"/>
    <col min="6" max="6" width="13.140625" style="33" bestFit="1" customWidth="1"/>
    <col min="7" max="7" width="11.85546875" style="33" customWidth="1"/>
    <col min="8" max="8" width="16.7109375" style="33" bestFit="1" customWidth="1"/>
    <col min="9" max="9" width="14.85546875" style="33" bestFit="1" customWidth="1"/>
    <col min="10" max="10" width="13.5703125" style="33" bestFit="1" customWidth="1"/>
    <col min="11" max="11" width="11.7109375" style="33" bestFit="1" customWidth="1"/>
    <col min="12" max="12" width="16" style="33" customWidth="1"/>
    <col min="13" max="13" width="9.5703125" bestFit="1" customWidth="1"/>
    <col min="14" max="14" width="13.28515625" bestFit="1" customWidth="1"/>
    <col min="15" max="15" width="11.5703125" bestFit="1" customWidth="1"/>
    <col min="16" max="21" width="11.5703125" customWidth="1"/>
    <col min="22" max="24" width="13.42578125" bestFit="1" customWidth="1"/>
    <col min="25" max="34" width="13.42578125" customWidth="1"/>
    <col min="35" max="36" width="13.42578125" bestFit="1" customWidth="1"/>
    <col min="37" max="39" width="13.140625" bestFit="1" customWidth="1"/>
    <col min="40" max="40" width="18.7109375" bestFit="1" customWidth="1"/>
    <col min="41" max="41" width="14.85546875" bestFit="1" customWidth="1"/>
    <col min="42" max="42" width="14.85546875" customWidth="1"/>
    <col min="43" max="43" width="13.28515625" bestFit="1" customWidth="1"/>
    <col min="44" max="44" width="17.140625" customWidth="1"/>
    <col min="45" max="45" width="16.7109375" bestFit="1" customWidth="1"/>
    <col min="46" max="46" width="16.7109375" customWidth="1"/>
    <col min="47" max="47" width="11.5703125" bestFit="1" customWidth="1"/>
    <col min="48" max="48" width="15.140625" bestFit="1" customWidth="1"/>
    <col min="49" max="49" width="12.28515625" bestFit="1" customWidth="1"/>
    <col min="50" max="52" width="11.5703125" customWidth="1"/>
    <col min="53" max="53" width="9.5703125" bestFit="1" customWidth="1"/>
    <col min="54" max="54" width="8.42578125" bestFit="1" customWidth="1"/>
    <col min="56" max="56" width="8.7109375" bestFit="1" customWidth="1"/>
    <col min="57" max="57" width="10.140625" bestFit="1" customWidth="1"/>
    <col min="58" max="58" width="12" bestFit="1" customWidth="1"/>
    <col min="59" max="59" width="10.140625" bestFit="1" customWidth="1"/>
    <col min="60" max="60" width="12" bestFit="1" customWidth="1"/>
    <col min="61" max="61" width="8.85546875" bestFit="1" customWidth="1"/>
    <col min="62" max="62" width="10.7109375" bestFit="1" customWidth="1"/>
    <col min="63" max="63" width="8.42578125" bestFit="1" customWidth="1"/>
    <col min="64" max="64" width="19" bestFit="1" customWidth="1"/>
  </cols>
  <sheetData>
    <row r="1" spans="1:64" ht="9.9499999999999993" customHeight="1" thickTop="1">
      <c r="A1" s="277"/>
      <c r="B1" s="277"/>
      <c r="C1" s="277"/>
      <c r="D1" s="277"/>
      <c r="E1" s="277"/>
      <c r="F1" s="277"/>
      <c r="G1" s="277"/>
      <c r="H1" s="277"/>
      <c r="I1" s="277"/>
      <c r="J1" s="277"/>
      <c r="K1" s="277"/>
      <c r="L1" s="277"/>
      <c r="M1" t="s">
        <v>296</v>
      </c>
      <c r="BA1" s="277"/>
      <c r="BB1" s="277"/>
      <c r="BC1" s="277"/>
      <c r="BD1" s="277"/>
      <c r="BE1" s="277"/>
      <c r="BF1" s="277"/>
      <c r="BG1" s="277"/>
      <c r="BH1" s="277"/>
      <c r="BI1" s="277"/>
      <c r="BJ1" s="277"/>
      <c r="BK1" s="277"/>
      <c r="BL1" s="277"/>
    </row>
    <row r="2" spans="1:64" ht="24.95" customHeight="1" thickBot="1">
      <c r="A2" s="278" t="s">
        <v>256</v>
      </c>
      <c r="B2" s="278"/>
      <c r="C2" s="278"/>
      <c r="D2" s="278"/>
      <c r="E2" s="278"/>
      <c r="F2" s="278"/>
      <c r="G2" s="278"/>
      <c r="H2" s="278"/>
      <c r="I2" s="278"/>
      <c r="J2" s="278"/>
      <c r="K2" s="278"/>
      <c r="L2" s="278"/>
      <c r="M2" s="285" t="s">
        <v>280</v>
      </c>
      <c r="N2" s="285"/>
      <c r="O2" s="285"/>
      <c r="P2" s="285"/>
      <c r="Q2" s="285"/>
      <c r="R2" s="285"/>
      <c r="S2" s="285"/>
      <c r="T2" s="285"/>
      <c r="U2" s="285"/>
      <c r="V2" s="285"/>
      <c r="W2" s="285"/>
      <c r="X2" s="285"/>
      <c r="Y2" s="285"/>
      <c r="Z2" s="285"/>
      <c r="AA2" s="285"/>
      <c r="AB2" s="285"/>
      <c r="AC2" s="285"/>
      <c r="AD2" s="285"/>
      <c r="AE2" s="285"/>
      <c r="AF2" s="285"/>
      <c r="AG2" s="285"/>
      <c r="AH2" s="285"/>
      <c r="AI2" s="285"/>
      <c r="AJ2" s="285"/>
      <c r="AK2" s="285"/>
      <c r="AL2" s="285"/>
      <c r="AM2" s="285"/>
      <c r="AN2" s="285"/>
      <c r="AO2" s="285"/>
      <c r="AP2" s="285"/>
      <c r="AQ2" s="285"/>
      <c r="AR2" s="285"/>
      <c r="AS2" s="285"/>
      <c r="AT2" s="285"/>
      <c r="AU2" s="285"/>
      <c r="AV2" s="285"/>
      <c r="BA2" s="278" t="s">
        <v>256</v>
      </c>
      <c r="BB2" s="278"/>
      <c r="BC2" s="278"/>
      <c r="BD2" s="278"/>
      <c r="BE2" s="278"/>
      <c r="BF2" s="278"/>
      <c r="BG2" s="278"/>
      <c r="BH2" s="278"/>
      <c r="BI2" s="278"/>
      <c r="BJ2" s="278"/>
      <c r="BK2" s="278"/>
      <c r="BL2" s="278"/>
    </row>
    <row r="3" spans="1:64" ht="15" customHeight="1">
      <c r="A3" s="279" t="s">
        <v>5</v>
      </c>
      <c r="B3" s="281"/>
      <c r="C3" s="281"/>
      <c r="D3" s="281"/>
      <c r="E3" s="281"/>
      <c r="F3" s="281"/>
      <c r="G3" s="281"/>
      <c r="H3" s="281" t="s">
        <v>166</v>
      </c>
      <c r="I3" s="281"/>
      <c r="J3" s="281"/>
      <c r="K3" s="281"/>
      <c r="L3" s="281"/>
      <c r="M3" s="285"/>
      <c r="N3" s="285"/>
      <c r="O3" s="285"/>
      <c r="P3" s="285"/>
      <c r="Q3" s="285"/>
      <c r="R3" s="285"/>
      <c r="S3" s="285"/>
      <c r="T3" s="285"/>
      <c r="U3" s="285"/>
      <c r="V3" s="285"/>
      <c r="W3" s="285"/>
      <c r="X3" s="285"/>
      <c r="Y3" s="285"/>
      <c r="Z3" s="285"/>
      <c r="AA3" s="285"/>
      <c r="AB3" s="285"/>
      <c r="AC3" s="285"/>
      <c r="AD3" s="285"/>
      <c r="AE3" s="285"/>
      <c r="AF3" s="285"/>
      <c r="AG3" s="285"/>
      <c r="AH3" s="285"/>
      <c r="AI3" s="285"/>
      <c r="AJ3" s="285"/>
      <c r="AK3" s="285"/>
      <c r="AL3" s="285"/>
      <c r="AM3" s="285"/>
      <c r="AN3" s="285"/>
      <c r="AO3" s="285"/>
      <c r="AP3" s="285"/>
      <c r="AQ3" s="285"/>
      <c r="AR3" s="285"/>
      <c r="AS3" s="285"/>
      <c r="AT3" s="285"/>
      <c r="AU3" s="285"/>
      <c r="AV3" s="285"/>
      <c r="BA3" s="279" t="s">
        <v>5</v>
      </c>
      <c r="BB3" s="281"/>
      <c r="BC3" s="281"/>
      <c r="BD3" s="281"/>
      <c r="BE3" s="281"/>
      <c r="BF3" s="281"/>
      <c r="BG3" s="281"/>
      <c r="BH3" s="281" t="s">
        <v>166</v>
      </c>
      <c r="BI3" s="281"/>
      <c r="BJ3" s="281"/>
      <c r="BK3" s="281"/>
      <c r="BL3" s="281"/>
    </row>
    <row r="4" spans="1:64" ht="15" customHeight="1">
      <c r="A4" s="280"/>
      <c r="B4" s="282"/>
      <c r="C4" s="282"/>
      <c r="D4" s="282"/>
      <c r="E4" s="282"/>
      <c r="F4" s="282"/>
      <c r="G4" s="282"/>
      <c r="H4" s="283"/>
      <c r="I4" s="283"/>
      <c r="J4" s="282"/>
      <c r="K4" s="282"/>
      <c r="L4" s="282"/>
      <c r="M4" s="285"/>
      <c r="N4" s="285"/>
      <c r="O4" s="285"/>
      <c r="P4" s="285"/>
      <c r="Q4" s="285"/>
      <c r="R4" s="285"/>
      <c r="S4" s="285"/>
      <c r="T4" s="285"/>
      <c r="U4" s="285"/>
      <c r="V4" s="285"/>
      <c r="W4" s="285"/>
      <c r="X4" s="285"/>
      <c r="Y4" s="285"/>
      <c r="Z4" s="285"/>
      <c r="AA4" s="285"/>
      <c r="AB4" s="285"/>
      <c r="AC4" s="285"/>
      <c r="AD4" s="285"/>
      <c r="AE4" s="285"/>
      <c r="AF4" s="285"/>
      <c r="AG4" s="285"/>
      <c r="AH4" s="285"/>
      <c r="AI4" s="285"/>
      <c r="AJ4" s="285"/>
      <c r="AK4" s="285"/>
      <c r="AL4" s="285"/>
      <c r="AM4" s="285"/>
      <c r="AN4" s="285"/>
      <c r="AO4" s="285"/>
      <c r="AP4" s="285"/>
      <c r="AQ4" s="285"/>
      <c r="AR4" s="285"/>
      <c r="AS4" s="285"/>
      <c r="AT4" s="285"/>
      <c r="AU4" s="285"/>
      <c r="AV4" s="285"/>
      <c r="BA4" s="280"/>
      <c r="BB4" s="282"/>
      <c r="BC4" s="282"/>
      <c r="BD4" s="282"/>
      <c r="BE4" s="282"/>
      <c r="BF4" s="282"/>
      <c r="BG4" s="282"/>
      <c r="BH4" s="283"/>
      <c r="BI4" s="283"/>
      <c r="BJ4" s="282"/>
      <c r="BK4" s="282"/>
      <c r="BL4" s="282"/>
    </row>
    <row r="5" spans="1:64" ht="15" customHeight="1">
      <c r="A5" s="280" t="s">
        <v>225</v>
      </c>
      <c r="B5" s="283"/>
      <c r="C5" s="283"/>
      <c r="D5" s="283"/>
      <c r="E5" s="283"/>
      <c r="F5" s="283"/>
      <c r="G5" s="283"/>
      <c r="H5" s="283" t="s">
        <v>226</v>
      </c>
      <c r="I5" s="283"/>
      <c r="J5" s="284"/>
      <c r="K5" s="284"/>
      <c r="L5" s="284"/>
      <c r="M5" s="240" t="s">
        <v>294</v>
      </c>
      <c r="N5" s="240" t="s">
        <v>281</v>
      </c>
      <c r="O5" s="240" t="s">
        <v>282</v>
      </c>
      <c r="P5" s="240" t="s">
        <v>283</v>
      </c>
      <c r="Q5" s="240"/>
      <c r="R5" s="240"/>
      <c r="S5" s="240"/>
      <c r="T5" s="240"/>
      <c r="U5" s="240"/>
      <c r="V5" s="240"/>
      <c r="W5" s="240" t="s">
        <v>159</v>
      </c>
      <c r="X5" s="240" t="s">
        <v>160</v>
      </c>
      <c r="Y5" s="240" t="s">
        <v>284</v>
      </c>
      <c r="Z5" s="240"/>
      <c r="AA5" s="240"/>
      <c r="AB5" s="240"/>
      <c r="AC5" s="240"/>
      <c r="AD5" s="240"/>
      <c r="AE5" s="240"/>
      <c r="AF5" s="240"/>
      <c r="AG5" s="240"/>
      <c r="AH5" s="240"/>
      <c r="AI5" s="240"/>
      <c r="AJ5" s="240" t="s">
        <v>352</v>
      </c>
      <c r="AK5" s="240" t="s">
        <v>285</v>
      </c>
      <c r="AL5" s="240" t="s">
        <v>286</v>
      </c>
      <c r="AM5" s="240" t="s">
        <v>287</v>
      </c>
      <c r="AN5" s="240" t="s">
        <v>288</v>
      </c>
      <c r="AO5" s="240" t="s">
        <v>289</v>
      </c>
      <c r="AP5" s="240" t="s">
        <v>353</v>
      </c>
      <c r="AQ5" s="286" t="s">
        <v>292</v>
      </c>
      <c r="AR5" s="240" t="s">
        <v>293</v>
      </c>
      <c r="AS5" s="240" t="s">
        <v>290</v>
      </c>
      <c r="AT5" s="240" t="s">
        <v>308</v>
      </c>
      <c r="AU5" s="240" t="s">
        <v>291</v>
      </c>
      <c r="AV5" s="240" t="s">
        <v>161</v>
      </c>
      <c r="BA5" s="280" t="s">
        <v>225</v>
      </c>
      <c r="BB5" s="283"/>
      <c r="BC5" s="283"/>
      <c r="BD5" s="283"/>
      <c r="BE5" s="283"/>
      <c r="BF5" s="283"/>
      <c r="BG5" s="283"/>
      <c r="BH5" s="283" t="s">
        <v>226</v>
      </c>
      <c r="BI5" s="283"/>
      <c r="BJ5" s="284"/>
      <c r="BK5" s="284"/>
      <c r="BL5" s="284"/>
    </row>
    <row r="6" spans="1:64" ht="15" customHeight="1">
      <c r="A6" s="280"/>
      <c r="B6" s="282"/>
      <c r="C6" s="282"/>
      <c r="D6" s="282"/>
      <c r="E6" s="282"/>
      <c r="F6" s="282"/>
      <c r="G6" s="282"/>
      <c r="H6" s="283"/>
      <c r="I6" s="283"/>
      <c r="J6" s="282"/>
      <c r="K6" s="282"/>
      <c r="L6" s="282"/>
      <c r="M6" s="240"/>
      <c r="N6" s="240"/>
      <c r="O6" s="240"/>
      <c r="P6" s="240"/>
      <c r="Q6" s="240"/>
      <c r="R6" s="240"/>
      <c r="S6" s="240"/>
      <c r="T6" s="240"/>
      <c r="U6" s="240"/>
      <c r="V6" s="240"/>
      <c r="W6" s="240"/>
      <c r="X6" s="240"/>
      <c r="Y6" s="240"/>
      <c r="Z6" s="240"/>
      <c r="AA6" s="240"/>
      <c r="AB6" s="240"/>
      <c r="AC6" s="240"/>
      <c r="AD6" s="240"/>
      <c r="AE6" s="240"/>
      <c r="AF6" s="240"/>
      <c r="AG6" s="240"/>
      <c r="AH6" s="240"/>
      <c r="AI6" s="240"/>
      <c r="AJ6" s="240"/>
      <c r="AK6" s="240"/>
      <c r="AL6" s="240"/>
      <c r="AM6" s="240"/>
      <c r="AN6" s="240"/>
      <c r="AO6" s="240"/>
      <c r="AP6" s="240"/>
      <c r="AQ6" s="287"/>
      <c r="AR6" s="240"/>
      <c r="AS6" s="240"/>
      <c r="AT6" s="240"/>
      <c r="AU6" s="240"/>
      <c r="AV6" s="240"/>
      <c r="BA6" s="280"/>
      <c r="BB6" s="282"/>
      <c r="BC6" s="282"/>
      <c r="BD6" s="282"/>
      <c r="BE6" s="282"/>
      <c r="BF6" s="282"/>
      <c r="BG6" s="282"/>
      <c r="BH6" s="283"/>
      <c r="BI6" s="283"/>
      <c r="BJ6" s="282"/>
      <c r="BK6" s="282"/>
      <c r="BL6" s="282"/>
    </row>
    <row r="7" spans="1:64" ht="9.9499999999999993" customHeight="1" thickBot="1">
      <c r="A7" s="52"/>
      <c r="B7" s="52"/>
      <c r="C7" s="52"/>
      <c r="D7" s="52"/>
      <c r="E7" s="52"/>
      <c r="F7" s="52"/>
      <c r="G7" s="52"/>
      <c r="H7" s="52"/>
      <c r="I7" s="52"/>
      <c r="J7" s="52"/>
      <c r="K7" s="52"/>
      <c r="L7" s="52"/>
      <c r="M7" s="240"/>
      <c r="N7" s="240"/>
      <c r="O7" s="240"/>
      <c r="P7" s="240"/>
      <c r="Q7" s="240"/>
      <c r="R7" s="240"/>
      <c r="S7" s="240"/>
      <c r="T7" s="240"/>
      <c r="U7" s="240"/>
      <c r="V7" s="240"/>
      <c r="W7" s="240"/>
      <c r="X7" s="240"/>
      <c r="Y7" s="240"/>
      <c r="Z7" s="240"/>
      <c r="AA7" s="240"/>
      <c r="AB7" s="240"/>
      <c r="AC7" s="240"/>
      <c r="AD7" s="240"/>
      <c r="AE7" s="240"/>
      <c r="AF7" s="240"/>
      <c r="AG7" s="240"/>
      <c r="AH7" s="240"/>
      <c r="AI7" s="240"/>
      <c r="AJ7" s="240"/>
      <c r="AK7" s="240"/>
      <c r="AL7" s="240"/>
      <c r="AM7" s="240"/>
      <c r="AN7" s="240"/>
      <c r="AO7" s="240"/>
      <c r="AP7" s="240"/>
      <c r="AQ7" s="287"/>
      <c r="AR7" s="240"/>
      <c r="AS7" s="240"/>
      <c r="AT7" s="240"/>
      <c r="AU7" s="240"/>
      <c r="AV7" s="240"/>
      <c r="BA7" s="52"/>
      <c r="BB7" s="52"/>
      <c r="BC7" s="52"/>
      <c r="BD7" s="52"/>
      <c r="BE7" s="52"/>
      <c r="BF7" s="52"/>
      <c r="BG7" s="52"/>
      <c r="BH7" s="52"/>
      <c r="BI7" s="52"/>
      <c r="BJ7" s="52"/>
      <c r="BK7" s="52"/>
      <c r="BL7" s="52"/>
    </row>
    <row r="8" spans="1:64" ht="30" customHeight="1" thickTop="1" thickBot="1">
      <c r="A8" s="56"/>
      <c r="B8" s="265" t="s">
        <v>223</v>
      </c>
      <c r="C8" s="265"/>
      <c r="D8" s="265"/>
      <c r="E8" s="265" t="s">
        <v>46</v>
      </c>
      <c r="F8" s="265"/>
      <c r="G8" s="265"/>
      <c r="H8" s="265"/>
      <c r="I8" s="266" t="s">
        <v>88</v>
      </c>
      <c r="J8" s="266"/>
      <c r="K8" s="266"/>
      <c r="L8" s="77" t="s">
        <v>224</v>
      </c>
      <c r="M8" s="240"/>
      <c r="N8" s="240"/>
      <c r="O8" s="240"/>
      <c r="P8" s="92" t="s">
        <v>324</v>
      </c>
      <c r="Q8" s="92" t="s">
        <v>323</v>
      </c>
      <c r="R8" s="92" t="s">
        <v>325</v>
      </c>
      <c r="S8" s="92" t="s">
        <v>326</v>
      </c>
      <c r="T8" s="92" t="s">
        <v>327</v>
      </c>
      <c r="U8" s="92" t="s">
        <v>328</v>
      </c>
      <c r="V8" s="241" t="s">
        <v>292</v>
      </c>
      <c r="W8" s="240"/>
      <c r="X8" s="240"/>
      <c r="Y8" s="92" t="s">
        <v>329</v>
      </c>
      <c r="Z8" s="92" t="s">
        <v>330</v>
      </c>
      <c r="AA8" s="92" t="s">
        <v>331</v>
      </c>
      <c r="AB8" s="92" t="s">
        <v>332</v>
      </c>
      <c r="AC8" s="92" t="s">
        <v>351</v>
      </c>
      <c r="AD8" s="92" t="s">
        <v>333</v>
      </c>
      <c r="AE8" s="92" t="s">
        <v>334</v>
      </c>
      <c r="AF8" s="92" t="s">
        <v>335</v>
      </c>
      <c r="AG8" s="92" t="s">
        <v>336</v>
      </c>
      <c r="AH8" s="92" t="s">
        <v>337</v>
      </c>
      <c r="AI8" s="241" t="s">
        <v>292</v>
      </c>
      <c r="AJ8" s="240"/>
      <c r="AK8" s="240"/>
      <c r="AL8" s="240"/>
      <c r="AM8" s="240"/>
      <c r="AN8" s="240"/>
      <c r="AO8" s="240"/>
      <c r="AP8" s="240"/>
      <c r="AQ8" s="287"/>
      <c r="AR8" s="240"/>
      <c r="AS8" s="240"/>
      <c r="AT8" s="240"/>
      <c r="AU8" s="240"/>
      <c r="AV8" s="240"/>
      <c r="BA8" s="56"/>
      <c r="BB8" s="265" t="s">
        <v>223</v>
      </c>
      <c r="BC8" s="265"/>
      <c r="BD8" s="265"/>
      <c r="BE8" s="265" t="s">
        <v>46</v>
      </c>
      <c r="BF8" s="265"/>
      <c r="BG8" s="265"/>
      <c r="BH8" s="265"/>
      <c r="BI8" s="266" t="s">
        <v>88</v>
      </c>
      <c r="BJ8" s="266"/>
      <c r="BK8" s="266"/>
      <c r="BL8" s="77" t="s">
        <v>224</v>
      </c>
    </row>
    <row r="9" spans="1:64" s="40" customFormat="1" ht="65.099999999999994" customHeight="1" thickTop="1">
      <c r="A9" s="69" t="s">
        <v>186</v>
      </c>
      <c r="B9" s="69" t="s">
        <v>96</v>
      </c>
      <c r="C9" s="70" t="s">
        <v>97</v>
      </c>
      <c r="D9" s="70" t="s">
        <v>188</v>
      </c>
      <c r="E9" s="70" t="s">
        <v>297</v>
      </c>
      <c r="F9" s="70" t="s">
        <v>311</v>
      </c>
      <c r="G9" s="70" t="s">
        <v>198</v>
      </c>
      <c r="H9" s="71" t="s">
        <v>187</v>
      </c>
      <c r="I9" s="71" t="s">
        <v>202</v>
      </c>
      <c r="J9" s="71" t="s">
        <v>203</v>
      </c>
      <c r="K9" s="71" t="s">
        <v>204</v>
      </c>
      <c r="L9" s="78" t="s">
        <v>257</v>
      </c>
      <c r="M9" s="81" t="s">
        <v>295</v>
      </c>
      <c r="N9" s="82">
        <v>24.3</v>
      </c>
      <c r="O9" s="82">
        <v>5</v>
      </c>
      <c r="P9" s="82">
        <v>80</v>
      </c>
      <c r="Q9" s="82">
        <v>80</v>
      </c>
      <c r="R9" s="82">
        <v>35</v>
      </c>
      <c r="S9" s="82">
        <v>13</v>
      </c>
      <c r="T9" s="82">
        <v>10</v>
      </c>
      <c r="U9" s="82">
        <v>850</v>
      </c>
      <c r="V9" s="242"/>
      <c r="W9" s="82">
        <v>0.4</v>
      </c>
      <c r="X9" s="82">
        <v>0.4</v>
      </c>
      <c r="Y9" s="82">
        <v>65</v>
      </c>
      <c r="Z9" s="82">
        <v>40</v>
      </c>
      <c r="AA9" s="82">
        <v>90</v>
      </c>
      <c r="AB9" s="82">
        <v>53.5</v>
      </c>
      <c r="AC9" s="82">
        <v>200</v>
      </c>
      <c r="AD9" s="82">
        <v>30</v>
      </c>
      <c r="AE9" s="82">
        <v>45</v>
      </c>
      <c r="AF9" s="82">
        <v>18</v>
      </c>
      <c r="AG9" s="82">
        <v>60</v>
      </c>
      <c r="AH9" s="82">
        <v>75</v>
      </c>
      <c r="AI9" s="242"/>
      <c r="AJ9" s="82">
        <v>1200</v>
      </c>
      <c r="AK9" s="82">
        <v>400</v>
      </c>
      <c r="AL9" s="82">
        <v>400</v>
      </c>
      <c r="AM9" s="82">
        <v>0</v>
      </c>
      <c r="AN9" s="82">
        <v>600</v>
      </c>
      <c r="AO9" s="82">
        <v>1100</v>
      </c>
      <c r="AP9" s="82">
        <v>1000</v>
      </c>
      <c r="AQ9" s="288"/>
      <c r="AR9" s="83">
        <v>0.2</v>
      </c>
      <c r="AS9" s="82"/>
      <c r="AT9" s="84">
        <v>0.05</v>
      </c>
      <c r="AU9" s="84">
        <v>0.18</v>
      </c>
      <c r="AV9" s="85"/>
      <c r="BA9" s="69" t="s">
        <v>186</v>
      </c>
      <c r="BB9" s="69" t="s">
        <v>96</v>
      </c>
      <c r="BC9" s="70" t="s">
        <v>97</v>
      </c>
      <c r="BD9" s="70" t="s">
        <v>188</v>
      </c>
      <c r="BE9" s="70" t="s">
        <v>297</v>
      </c>
      <c r="BF9" s="70" t="s">
        <v>298</v>
      </c>
      <c r="BG9" s="70" t="s">
        <v>198</v>
      </c>
      <c r="BH9" s="71" t="s">
        <v>187</v>
      </c>
      <c r="BI9" s="71" t="s">
        <v>202</v>
      </c>
      <c r="BJ9" s="71" t="s">
        <v>203</v>
      </c>
      <c r="BK9" s="71" t="s">
        <v>204</v>
      </c>
      <c r="BL9" s="78" t="s">
        <v>257</v>
      </c>
    </row>
    <row r="10" spans="1:64" ht="20.100000000000001" customHeight="1">
      <c r="A10" s="61">
        <v>1</v>
      </c>
      <c r="B10" s="41">
        <v>4</v>
      </c>
      <c r="C10" s="61">
        <v>550</v>
      </c>
      <c r="D10" s="42">
        <f>C10*B10/1000</f>
        <v>2.2000000000000002</v>
      </c>
      <c r="E10" s="63">
        <f>F10/D10</f>
        <v>55656.612000000001</v>
      </c>
      <c r="F10" s="89">
        <v>122444.54640000001</v>
      </c>
      <c r="G10" s="63">
        <f>60000+(18000*(D10-2))</f>
        <v>63600</v>
      </c>
      <c r="H10" s="63">
        <f>F10-G10</f>
        <v>58844.546400000007</v>
      </c>
      <c r="I10" s="62">
        <f>5*D10</f>
        <v>11</v>
      </c>
      <c r="J10" s="64">
        <f>I10*60</f>
        <v>660</v>
      </c>
      <c r="K10" s="64">
        <f>J10*8</f>
        <v>5280</v>
      </c>
      <c r="L10" s="79">
        <v>3</v>
      </c>
      <c r="M10" s="87" t="str">
        <f>CONCATENATE(D10,$M$1)</f>
        <v>2.2 KW</v>
      </c>
      <c r="N10" s="86">
        <f>$N$9*(D10*1000)</f>
        <v>53460</v>
      </c>
      <c r="O10" s="86">
        <v>15300</v>
      </c>
      <c r="P10" s="90">
        <f>L10*18*$P$9</f>
        <v>4320</v>
      </c>
      <c r="Q10" s="90">
        <f>L10*15*$Q$9</f>
        <v>3600</v>
      </c>
      <c r="R10" s="90">
        <f>L10*2*$R$9</f>
        <v>210</v>
      </c>
      <c r="S10" s="90">
        <f>B10*4*$S$9</f>
        <v>208</v>
      </c>
      <c r="T10" s="90">
        <f>L10*8*$T$9</f>
        <v>240</v>
      </c>
      <c r="U10" s="90">
        <f>$U$9/2</f>
        <v>425</v>
      </c>
      <c r="V10" s="86">
        <f>SUM(P10:U10)</f>
        <v>9003</v>
      </c>
      <c r="W10" s="86">
        <v>1200</v>
      </c>
      <c r="X10" s="86">
        <f>$X$9*(D10*1000)</f>
        <v>880</v>
      </c>
      <c r="Y10" s="86">
        <f>$D$28*$Y$9</f>
        <v>975</v>
      </c>
      <c r="Z10" s="86">
        <f>$D$29*$Z$9</f>
        <v>1600</v>
      </c>
      <c r="AA10" s="86">
        <v>0</v>
      </c>
      <c r="AB10" s="86">
        <v>0</v>
      </c>
      <c r="AC10" s="86">
        <v>0</v>
      </c>
      <c r="AD10" s="86">
        <f>$D$30*$AD$9</f>
        <v>2100</v>
      </c>
      <c r="AE10" s="86">
        <v>0</v>
      </c>
      <c r="AF10" s="86">
        <f>$D$31*$AF$9</f>
        <v>360</v>
      </c>
      <c r="AG10" s="86">
        <f>$D$32*$AG$9</f>
        <v>1200</v>
      </c>
      <c r="AH10" s="86">
        <v>0</v>
      </c>
      <c r="AI10" s="86">
        <f>SUM(Y10:AH10)</f>
        <v>6235</v>
      </c>
      <c r="AJ10" s="86">
        <f>AJ9</f>
        <v>1200</v>
      </c>
      <c r="AK10" s="86">
        <v>1500</v>
      </c>
      <c r="AL10" s="86">
        <f>AL9</f>
        <v>400</v>
      </c>
      <c r="AM10" s="86">
        <v>0</v>
      </c>
      <c r="AN10" s="86">
        <f>$AN$9*D10</f>
        <v>1320</v>
      </c>
      <c r="AO10" s="86">
        <v>3200</v>
      </c>
      <c r="AP10" s="86">
        <f>D10*$AP$9</f>
        <v>2200</v>
      </c>
      <c r="AQ10" s="86">
        <f>SUM(N10:AO10)-AI10-V10</f>
        <v>93698</v>
      </c>
      <c r="AR10" s="86">
        <f>AQ10*$AR$9</f>
        <v>18739.600000000002</v>
      </c>
      <c r="AS10" s="86">
        <f>SUM(AQ10:AR10)</f>
        <v>112437.6</v>
      </c>
      <c r="AT10" s="86">
        <f>(AS10*70%)*$AT$9</f>
        <v>3935.3159999999998</v>
      </c>
      <c r="AU10" s="86">
        <f>(AS10*30%)*$AU$9</f>
        <v>6071.6304</v>
      </c>
      <c r="AV10" s="90">
        <f>SUM(AS10:AU10)</f>
        <v>122444.54640000001</v>
      </c>
      <c r="AW10" s="76">
        <f>AV10-F10</f>
        <v>0</v>
      </c>
      <c r="AX10" s="86">
        <v>15639.15</v>
      </c>
      <c r="AY10" s="86">
        <f>AX10-(3000*BD10)</f>
        <v>9099.1499999999978</v>
      </c>
      <c r="AZ10" s="86"/>
      <c r="BA10" s="61">
        <v>1</v>
      </c>
      <c r="BB10" s="41">
        <v>4</v>
      </c>
      <c r="BC10" s="61">
        <v>545</v>
      </c>
      <c r="BD10" s="42">
        <f>BC10*BB10/1000</f>
        <v>2.1800000000000002</v>
      </c>
      <c r="BE10" s="63">
        <f>BF10/BD10</f>
        <v>58135.072729357795</v>
      </c>
      <c r="BF10" s="43">
        <v>126734.45855</v>
      </c>
      <c r="BG10" s="63">
        <f>60000+(18000*(BD10-2))</f>
        <v>63240</v>
      </c>
      <c r="BH10" s="63">
        <f>BF10-BG10</f>
        <v>63494.458549999996</v>
      </c>
      <c r="BI10" s="62">
        <f>5*BD10</f>
        <v>10.9</v>
      </c>
      <c r="BJ10" s="64">
        <f>BI10*60</f>
        <v>654</v>
      </c>
      <c r="BK10" s="64">
        <f>BJ10*8</f>
        <v>5232</v>
      </c>
      <c r="BL10" s="79">
        <v>3</v>
      </c>
    </row>
    <row r="11" spans="1:64" ht="20.100000000000001" customHeight="1">
      <c r="A11" s="61">
        <v>2</v>
      </c>
      <c r="B11" s="41">
        <v>5</v>
      </c>
      <c r="C11" s="61">
        <v>550</v>
      </c>
      <c r="D11" s="42">
        <f>C11*B11/1000</f>
        <v>2.75</v>
      </c>
      <c r="E11" s="63">
        <f t="shared" ref="E11:E24" si="0">F11/D11</f>
        <v>51257.447999999997</v>
      </c>
      <c r="F11" s="89">
        <v>140957.98199999999</v>
      </c>
      <c r="G11" s="63">
        <f>60000+(18000*(D11-2))</f>
        <v>73500</v>
      </c>
      <c r="H11" s="63">
        <f>F11-G11</f>
        <v>67457.981999999989</v>
      </c>
      <c r="I11" s="62">
        <f t="shared" ref="I11:I24" si="1">5*D11</f>
        <v>13.75</v>
      </c>
      <c r="J11" s="64">
        <f t="shared" ref="J11:J24" si="2">I11*60</f>
        <v>825</v>
      </c>
      <c r="K11" s="64">
        <f t="shared" ref="K11:K24" si="3">J11*8</f>
        <v>6600</v>
      </c>
      <c r="L11" s="79">
        <v>3</v>
      </c>
      <c r="M11" s="87" t="str">
        <f t="shared" ref="M11:M24" si="4">CONCATENATE(D11,$M$1)</f>
        <v>2.75 KW</v>
      </c>
      <c r="N11" s="86">
        <f t="shared" ref="N11:N24" si="5">$N$9*(D11*1000)</f>
        <v>66825</v>
      </c>
      <c r="O11" s="86">
        <v>15500</v>
      </c>
      <c r="P11" s="90">
        <f t="shared" ref="P11:P24" si="6">L11*18*$P$9</f>
        <v>4320</v>
      </c>
      <c r="Q11" s="90">
        <f t="shared" ref="Q11:Q24" si="7">L11*15*$Q$9</f>
        <v>3600</v>
      </c>
      <c r="R11" s="90">
        <f t="shared" ref="R11:R24" si="8">L11*2*$R$9</f>
        <v>210</v>
      </c>
      <c r="S11" s="90">
        <f t="shared" ref="S11:S24" si="9">B11*4*$S$9</f>
        <v>260</v>
      </c>
      <c r="T11" s="90">
        <f t="shared" ref="T11:T24" si="10">L11*8*$T$9</f>
        <v>240</v>
      </c>
      <c r="U11" s="90">
        <f t="shared" ref="U11:U24" si="11">$U$9/2</f>
        <v>425</v>
      </c>
      <c r="V11" s="86">
        <f t="shared" ref="V11:V24" si="12">SUM(P11:U11)</f>
        <v>9055</v>
      </c>
      <c r="W11" s="86">
        <v>1200</v>
      </c>
      <c r="X11" s="86">
        <f t="shared" ref="X11:X24" si="13">$X$9*(D11*1000)</f>
        <v>1100</v>
      </c>
      <c r="Y11" s="86">
        <f t="shared" ref="Y11:Y14" si="14">$D$28*$Y$9</f>
        <v>975</v>
      </c>
      <c r="Z11" s="86">
        <f t="shared" ref="Z11:Z14" si="15">$D$29*$Z$9</f>
        <v>1600</v>
      </c>
      <c r="AA11" s="86">
        <v>0</v>
      </c>
      <c r="AB11" s="86">
        <v>0</v>
      </c>
      <c r="AC11" s="86">
        <v>0</v>
      </c>
      <c r="AD11" s="86">
        <f t="shared" ref="AD11:AD14" si="16">$D$30*$AD$9</f>
        <v>2100</v>
      </c>
      <c r="AE11" s="86">
        <v>0</v>
      </c>
      <c r="AF11" s="86">
        <f t="shared" ref="AF11:AF14" si="17">$D$31*$AF$9</f>
        <v>360</v>
      </c>
      <c r="AG11" s="86">
        <f t="shared" ref="AG11:AG14" si="18">$D$32*$AG$9</f>
        <v>1200</v>
      </c>
      <c r="AH11" s="86">
        <v>0</v>
      </c>
      <c r="AI11" s="86">
        <f t="shared" ref="AI11:AI24" si="19">SUM(Y11:AH11)</f>
        <v>6235</v>
      </c>
      <c r="AJ11" s="86">
        <f t="shared" ref="AJ11:AJ24" si="20">AJ10</f>
        <v>1200</v>
      </c>
      <c r="AK11" s="86">
        <v>1500</v>
      </c>
      <c r="AL11" s="86">
        <f t="shared" ref="AL11:AL17" si="21">AL10</f>
        <v>400</v>
      </c>
      <c r="AM11" s="86">
        <v>0</v>
      </c>
      <c r="AN11" s="86">
        <f t="shared" ref="AN11:AN24" si="22">$AN$9*D11</f>
        <v>1650</v>
      </c>
      <c r="AO11" s="86">
        <v>3200</v>
      </c>
      <c r="AP11" s="86">
        <f t="shared" ref="AP11:AP24" si="23">D11*$AP$9</f>
        <v>2750</v>
      </c>
      <c r="AQ11" s="86">
        <f t="shared" ref="AQ11:AQ24" si="24">SUM(N11:AO11)-AI11-V11</f>
        <v>107865</v>
      </c>
      <c r="AR11" s="86">
        <f t="shared" ref="AR11:AR24" si="25">AQ11*$AR$9</f>
        <v>21573</v>
      </c>
      <c r="AS11" s="86">
        <f t="shared" ref="AS11:AS24" si="26">SUM(AQ11:AR11)</f>
        <v>129438</v>
      </c>
      <c r="AT11" s="86">
        <f t="shared" ref="AT11:AT24" si="27">(AS11*70%)*$AT$9</f>
        <v>4530.33</v>
      </c>
      <c r="AU11" s="86">
        <f t="shared" ref="AU11:AU24" si="28">(AS11*30%)*$AU$9</f>
        <v>6989.652</v>
      </c>
      <c r="AV11" s="90">
        <f t="shared" ref="AV11:AV24" si="29">SUM(AS11:AU11)</f>
        <v>140957.98199999999</v>
      </c>
      <c r="AW11" s="76">
        <f t="shared" ref="AW11:AW24" si="30">AV11-F11</f>
        <v>0</v>
      </c>
      <c r="AX11" s="86">
        <v>17831.4375</v>
      </c>
      <c r="AY11" s="86">
        <f t="shared" ref="AY11:AY24" si="31">AX11-(3000*BD11)</f>
        <v>9656.4375</v>
      </c>
      <c r="AZ11" s="86"/>
      <c r="BA11" s="61">
        <v>2</v>
      </c>
      <c r="BB11" s="41">
        <v>5</v>
      </c>
      <c r="BC11" s="61">
        <v>545</v>
      </c>
      <c r="BD11" s="42">
        <f>BC11*BB11/1000</f>
        <v>2.7250000000000001</v>
      </c>
      <c r="BE11" s="63">
        <f t="shared" ref="BE11:BE24" si="32">BF11/BD11</f>
        <v>53027.532362385318</v>
      </c>
      <c r="BF11" s="43">
        <v>144500.02568749999</v>
      </c>
      <c r="BG11" s="63">
        <f>60000+(18000*(BD11-2))</f>
        <v>73050</v>
      </c>
      <c r="BH11" s="63">
        <f>BF11-BG11</f>
        <v>71450.02568749999</v>
      </c>
      <c r="BI11" s="62">
        <f t="shared" ref="BI11:BI24" si="33">5*BD11</f>
        <v>13.625</v>
      </c>
      <c r="BJ11" s="64">
        <f t="shared" ref="BJ11:BJ24" si="34">BI11*60</f>
        <v>817.5</v>
      </c>
      <c r="BK11" s="64">
        <f t="shared" ref="BK11:BK24" si="35">BJ11*8</f>
        <v>6540</v>
      </c>
      <c r="BL11" s="79">
        <v>3</v>
      </c>
    </row>
    <row r="12" spans="1:64" ht="20.100000000000001" customHeight="1">
      <c r="A12" s="61">
        <v>3</v>
      </c>
      <c r="B12" s="41">
        <v>6</v>
      </c>
      <c r="C12" s="61">
        <v>550</v>
      </c>
      <c r="D12" s="42">
        <f t="shared" ref="D12:D24" si="36">C12*B12/1000</f>
        <v>3.3</v>
      </c>
      <c r="E12" s="63">
        <f t="shared" si="0"/>
        <v>48653.351999999999</v>
      </c>
      <c r="F12" s="89">
        <v>160556.06159999999</v>
      </c>
      <c r="G12" s="63">
        <v>78000</v>
      </c>
      <c r="H12" s="63">
        <f t="shared" ref="H12:H24" si="37">F12-G12</f>
        <v>82556.061599999986</v>
      </c>
      <c r="I12" s="62">
        <f t="shared" si="1"/>
        <v>16.5</v>
      </c>
      <c r="J12" s="64">
        <f t="shared" si="2"/>
        <v>990</v>
      </c>
      <c r="K12" s="64">
        <f t="shared" si="3"/>
        <v>7920</v>
      </c>
      <c r="L12" s="79">
        <v>3</v>
      </c>
      <c r="M12" s="87" t="str">
        <f t="shared" si="4"/>
        <v>3.3 KW</v>
      </c>
      <c r="N12" s="86">
        <f t="shared" si="5"/>
        <v>80190</v>
      </c>
      <c r="O12" s="86">
        <v>15500</v>
      </c>
      <c r="P12" s="90">
        <f t="shared" si="6"/>
        <v>4320</v>
      </c>
      <c r="Q12" s="90">
        <f t="shared" si="7"/>
        <v>3600</v>
      </c>
      <c r="R12" s="90">
        <f t="shared" si="8"/>
        <v>210</v>
      </c>
      <c r="S12" s="90">
        <f t="shared" si="9"/>
        <v>312</v>
      </c>
      <c r="T12" s="90">
        <f t="shared" si="10"/>
        <v>240</v>
      </c>
      <c r="U12" s="90">
        <f t="shared" si="11"/>
        <v>425</v>
      </c>
      <c r="V12" s="86">
        <f t="shared" si="12"/>
        <v>9107</v>
      </c>
      <c r="W12" s="86">
        <f t="shared" ref="W12:W24" si="38">$W$9*(D12*1000)</f>
        <v>1320</v>
      </c>
      <c r="X12" s="86">
        <f t="shared" si="13"/>
        <v>1320</v>
      </c>
      <c r="Y12" s="86">
        <f t="shared" si="14"/>
        <v>975</v>
      </c>
      <c r="Z12" s="86">
        <f t="shared" si="15"/>
        <v>1600</v>
      </c>
      <c r="AA12" s="86">
        <v>0</v>
      </c>
      <c r="AB12" s="86">
        <v>0</v>
      </c>
      <c r="AC12" s="86">
        <v>0</v>
      </c>
      <c r="AD12" s="86">
        <f t="shared" si="16"/>
        <v>2100</v>
      </c>
      <c r="AE12" s="86">
        <v>0</v>
      </c>
      <c r="AF12" s="86">
        <f t="shared" si="17"/>
        <v>360</v>
      </c>
      <c r="AG12" s="86">
        <f t="shared" si="18"/>
        <v>1200</v>
      </c>
      <c r="AH12" s="86">
        <v>0</v>
      </c>
      <c r="AI12" s="86">
        <f t="shared" si="19"/>
        <v>6235</v>
      </c>
      <c r="AJ12" s="86">
        <f t="shared" si="20"/>
        <v>1200</v>
      </c>
      <c r="AK12" s="86">
        <f t="shared" ref="AK12:AK24" si="39">$AK$9*D12*1.5</f>
        <v>1980</v>
      </c>
      <c r="AL12" s="86">
        <f t="shared" si="21"/>
        <v>400</v>
      </c>
      <c r="AM12" s="86">
        <v>0</v>
      </c>
      <c r="AN12" s="86">
        <f t="shared" si="22"/>
        <v>1980</v>
      </c>
      <c r="AO12" s="86">
        <f t="shared" ref="AO12:AO24" si="40">$AO$9*D12</f>
        <v>3630</v>
      </c>
      <c r="AP12" s="86">
        <f t="shared" si="23"/>
        <v>3300</v>
      </c>
      <c r="AQ12" s="86">
        <f t="shared" si="24"/>
        <v>122862</v>
      </c>
      <c r="AR12" s="86">
        <f t="shared" si="25"/>
        <v>24572.400000000001</v>
      </c>
      <c r="AS12" s="86">
        <f t="shared" si="26"/>
        <v>147434.4</v>
      </c>
      <c r="AT12" s="86">
        <f t="shared" si="27"/>
        <v>5160.2039999999997</v>
      </c>
      <c r="AU12" s="86">
        <f t="shared" si="28"/>
        <v>7961.4575999999997</v>
      </c>
      <c r="AV12" s="90">
        <f t="shared" si="29"/>
        <v>160556.06159999999</v>
      </c>
      <c r="AW12" s="76">
        <f t="shared" si="30"/>
        <v>0</v>
      </c>
      <c r="AX12" s="86">
        <v>20264.55</v>
      </c>
      <c r="AY12" s="86">
        <f t="shared" si="31"/>
        <v>10454.549999999999</v>
      </c>
      <c r="AZ12" s="86"/>
      <c r="BA12" s="61">
        <v>3</v>
      </c>
      <c r="BB12" s="41">
        <v>6</v>
      </c>
      <c r="BC12" s="61">
        <v>545</v>
      </c>
      <c r="BD12" s="42">
        <f t="shared" ref="BD12:BD24" si="41">BC12*BB12/1000</f>
        <v>3.27</v>
      </c>
      <c r="BE12" s="63">
        <f t="shared" si="32"/>
        <v>50219.314480122317</v>
      </c>
      <c r="BF12" s="43">
        <v>164217.15834999998</v>
      </c>
      <c r="BG12" s="63">
        <v>78000</v>
      </c>
      <c r="BH12" s="63">
        <f t="shared" ref="BH12:BH24" si="42">BF12-BG12</f>
        <v>86217.158349999983</v>
      </c>
      <c r="BI12" s="62">
        <f t="shared" si="33"/>
        <v>16.350000000000001</v>
      </c>
      <c r="BJ12" s="64">
        <f t="shared" si="34"/>
        <v>981.00000000000011</v>
      </c>
      <c r="BK12" s="64">
        <f t="shared" si="35"/>
        <v>7848.0000000000009</v>
      </c>
      <c r="BL12" s="79">
        <v>3</v>
      </c>
    </row>
    <row r="13" spans="1:64" ht="20.100000000000001" customHeight="1">
      <c r="A13" s="61">
        <v>4</v>
      </c>
      <c r="B13" s="41">
        <v>7</v>
      </c>
      <c r="C13" s="61">
        <v>550</v>
      </c>
      <c r="D13" s="42">
        <f t="shared" si="36"/>
        <v>3.85</v>
      </c>
      <c r="E13" s="63">
        <f t="shared" si="0"/>
        <v>49890.569142857144</v>
      </c>
      <c r="F13" s="89">
        <v>192078.6912</v>
      </c>
      <c r="G13" s="63">
        <v>78000</v>
      </c>
      <c r="H13" s="63">
        <f t="shared" si="37"/>
        <v>114078.6912</v>
      </c>
      <c r="I13" s="62">
        <f t="shared" si="1"/>
        <v>19.25</v>
      </c>
      <c r="J13" s="64">
        <f t="shared" si="2"/>
        <v>1155</v>
      </c>
      <c r="K13" s="64">
        <f t="shared" si="3"/>
        <v>9240</v>
      </c>
      <c r="L13" s="79">
        <v>3</v>
      </c>
      <c r="M13" s="87" t="str">
        <f t="shared" si="4"/>
        <v>3.85 KW</v>
      </c>
      <c r="N13" s="86">
        <f t="shared" si="5"/>
        <v>93555</v>
      </c>
      <c r="O13" s="86">
        <v>24500</v>
      </c>
      <c r="P13" s="90">
        <f t="shared" si="6"/>
        <v>4320</v>
      </c>
      <c r="Q13" s="90">
        <f t="shared" si="7"/>
        <v>3600</v>
      </c>
      <c r="R13" s="90">
        <f t="shared" si="8"/>
        <v>210</v>
      </c>
      <c r="S13" s="90">
        <f t="shared" si="9"/>
        <v>364</v>
      </c>
      <c r="T13" s="90">
        <f t="shared" si="10"/>
        <v>240</v>
      </c>
      <c r="U13" s="90">
        <f t="shared" si="11"/>
        <v>425</v>
      </c>
      <c r="V13" s="86">
        <f t="shared" si="12"/>
        <v>9159</v>
      </c>
      <c r="W13" s="86">
        <f t="shared" si="38"/>
        <v>1540</v>
      </c>
      <c r="X13" s="86">
        <f t="shared" si="13"/>
        <v>1540</v>
      </c>
      <c r="Y13" s="86">
        <f t="shared" si="14"/>
        <v>975</v>
      </c>
      <c r="Z13" s="86">
        <f t="shared" si="15"/>
        <v>1600</v>
      </c>
      <c r="AA13" s="86">
        <v>0</v>
      </c>
      <c r="AB13" s="86">
        <v>0</v>
      </c>
      <c r="AC13" s="86">
        <v>0</v>
      </c>
      <c r="AD13" s="86">
        <f t="shared" si="16"/>
        <v>2100</v>
      </c>
      <c r="AE13" s="86">
        <v>0</v>
      </c>
      <c r="AF13" s="86">
        <f t="shared" si="17"/>
        <v>360</v>
      </c>
      <c r="AG13" s="86">
        <f t="shared" si="18"/>
        <v>1200</v>
      </c>
      <c r="AH13" s="86">
        <v>0</v>
      </c>
      <c r="AI13" s="86">
        <f t="shared" si="19"/>
        <v>6235</v>
      </c>
      <c r="AJ13" s="86">
        <f t="shared" si="20"/>
        <v>1200</v>
      </c>
      <c r="AK13" s="86">
        <f t="shared" si="39"/>
        <v>2310</v>
      </c>
      <c r="AL13" s="86">
        <f t="shared" si="21"/>
        <v>400</v>
      </c>
      <c r="AM13" s="86">
        <v>0</v>
      </c>
      <c r="AN13" s="86">
        <f t="shared" si="22"/>
        <v>2310</v>
      </c>
      <c r="AO13" s="86">
        <f t="shared" si="40"/>
        <v>4235</v>
      </c>
      <c r="AP13" s="86">
        <f t="shared" si="23"/>
        <v>3850</v>
      </c>
      <c r="AQ13" s="86">
        <f t="shared" si="24"/>
        <v>146984</v>
      </c>
      <c r="AR13" s="86">
        <f t="shared" si="25"/>
        <v>29396.800000000003</v>
      </c>
      <c r="AS13" s="86">
        <f t="shared" si="26"/>
        <v>176380.79999999999</v>
      </c>
      <c r="AT13" s="86">
        <f t="shared" si="27"/>
        <v>6173.3279999999995</v>
      </c>
      <c r="AU13" s="86">
        <f t="shared" si="28"/>
        <v>9524.5631999999987</v>
      </c>
      <c r="AV13" s="90">
        <f t="shared" si="29"/>
        <v>192078.6912</v>
      </c>
      <c r="AW13" s="76">
        <f t="shared" si="30"/>
        <v>0</v>
      </c>
      <c r="AX13" s="86">
        <v>24565.724999999999</v>
      </c>
      <c r="AY13" s="86">
        <f t="shared" si="31"/>
        <v>13120.724999999999</v>
      </c>
      <c r="AZ13" s="86"/>
      <c r="BA13" s="61">
        <v>4</v>
      </c>
      <c r="BB13" s="41">
        <v>7</v>
      </c>
      <c r="BC13" s="61">
        <v>545</v>
      </c>
      <c r="BD13" s="42">
        <f t="shared" si="41"/>
        <v>3.8149999999999999</v>
      </c>
      <c r="BE13" s="63">
        <f t="shared" si="32"/>
        <v>52181.50637614679</v>
      </c>
      <c r="BF13" s="43">
        <v>199072.44682499999</v>
      </c>
      <c r="BG13" s="63">
        <v>78000</v>
      </c>
      <c r="BH13" s="63">
        <f t="shared" si="42"/>
        <v>121072.44682499999</v>
      </c>
      <c r="BI13" s="62">
        <f t="shared" si="33"/>
        <v>19.074999999999999</v>
      </c>
      <c r="BJ13" s="64">
        <f t="shared" si="34"/>
        <v>1144.5</v>
      </c>
      <c r="BK13" s="64">
        <f t="shared" si="35"/>
        <v>9156</v>
      </c>
      <c r="BL13" s="79">
        <v>3</v>
      </c>
    </row>
    <row r="14" spans="1:64" ht="20.100000000000001" customHeight="1">
      <c r="A14" s="61">
        <v>5</v>
      </c>
      <c r="B14" s="41">
        <v>8</v>
      </c>
      <c r="C14" s="61">
        <v>550</v>
      </c>
      <c r="D14" s="42">
        <f t="shared" si="36"/>
        <v>4.4000000000000004</v>
      </c>
      <c r="E14" s="63">
        <f t="shared" si="0"/>
        <v>48145.481999999996</v>
      </c>
      <c r="F14" s="89">
        <v>211840.1208</v>
      </c>
      <c r="G14" s="63">
        <v>78000</v>
      </c>
      <c r="H14" s="63">
        <f t="shared" si="37"/>
        <v>133840.1208</v>
      </c>
      <c r="I14" s="62">
        <f t="shared" si="1"/>
        <v>22</v>
      </c>
      <c r="J14" s="64">
        <f t="shared" si="2"/>
        <v>1320</v>
      </c>
      <c r="K14" s="64">
        <f t="shared" si="3"/>
        <v>10560</v>
      </c>
      <c r="L14" s="79">
        <v>3</v>
      </c>
      <c r="M14" s="87" t="str">
        <f t="shared" si="4"/>
        <v>4.4 KW</v>
      </c>
      <c r="N14" s="86">
        <f t="shared" si="5"/>
        <v>106920</v>
      </c>
      <c r="O14" s="86">
        <v>24500</v>
      </c>
      <c r="P14" s="90">
        <f t="shared" si="6"/>
        <v>4320</v>
      </c>
      <c r="Q14" s="90">
        <f t="shared" si="7"/>
        <v>3600</v>
      </c>
      <c r="R14" s="90">
        <f t="shared" si="8"/>
        <v>210</v>
      </c>
      <c r="S14" s="90">
        <f t="shared" si="9"/>
        <v>416</v>
      </c>
      <c r="T14" s="90">
        <f t="shared" si="10"/>
        <v>240</v>
      </c>
      <c r="U14" s="90">
        <f t="shared" si="11"/>
        <v>425</v>
      </c>
      <c r="V14" s="86">
        <f t="shared" si="12"/>
        <v>9211</v>
      </c>
      <c r="W14" s="86">
        <f t="shared" si="38"/>
        <v>1760</v>
      </c>
      <c r="X14" s="86">
        <f t="shared" si="13"/>
        <v>1760</v>
      </c>
      <c r="Y14" s="86">
        <f t="shared" si="14"/>
        <v>975</v>
      </c>
      <c r="Z14" s="86">
        <f t="shared" si="15"/>
        <v>1600</v>
      </c>
      <c r="AA14" s="86">
        <v>0</v>
      </c>
      <c r="AB14" s="86">
        <v>0</v>
      </c>
      <c r="AC14" s="86">
        <v>0</v>
      </c>
      <c r="AD14" s="86">
        <f t="shared" si="16"/>
        <v>2100</v>
      </c>
      <c r="AE14" s="86">
        <v>0</v>
      </c>
      <c r="AF14" s="86">
        <f t="shared" si="17"/>
        <v>360</v>
      </c>
      <c r="AG14" s="86">
        <f t="shared" si="18"/>
        <v>1200</v>
      </c>
      <c r="AH14" s="86">
        <v>0</v>
      </c>
      <c r="AI14" s="86">
        <f t="shared" si="19"/>
        <v>6235</v>
      </c>
      <c r="AJ14" s="86">
        <f t="shared" si="20"/>
        <v>1200</v>
      </c>
      <c r="AK14" s="86">
        <f t="shared" si="39"/>
        <v>2640.0000000000005</v>
      </c>
      <c r="AL14" s="86">
        <f t="shared" si="21"/>
        <v>400</v>
      </c>
      <c r="AM14" s="86">
        <v>0</v>
      </c>
      <c r="AN14" s="86">
        <f t="shared" si="22"/>
        <v>2640</v>
      </c>
      <c r="AO14" s="86">
        <f t="shared" si="40"/>
        <v>4840</v>
      </c>
      <c r="AP14" s="86">
        <f t="shared" si="23"/>
        <v>4400</v>
      </c>
      <c r="AQ14" s="86">
        <f t="shared" si="24"/>
        <v>162106</v>
      </c>
      <c r="AR14" s="86">
        <f t="shared" si="25"/>
        <v>32421.200000000001</v>
      </c>
      <c r="AS14" s="86">
        <f t="shared" si="26"/>
        <v>194527.2</v>
      </c>
      <c r="AT14" s="86">
        <f t="shared" si="27"/>
        <v>6808.4520000000011</v>
      </c>
      <c r="AU14" s="86">
        <f t="shared" si="28"/>
        <v>10504.468800000001</v>
      </c>
      <c r="AV14" s="90">
        <f t="shared" si="29"/>
        <v>211840.1208</v>
      </c>
      <c r="AW14" s="76">
        <f t="shared" si="30"/>
        <v>0</v>
      </c>
      <c r="AX14" s="86">
        <v>27516.899999999998</v>
      </c>
      <c r="AY14" s="86">
        <f t="shared" si="31"/>
        <v>14436.899999999996</v>
      </c>
      <c r="AZ14" s="86"/>
      <c r="BA14" s="61">
        <v>5</v>
      </c>
      <c r="BB14" s="41">
        <v>8</v>
      </c>
      <c r="BC14" s="61">
        <v>545</v>
      </c>
      <c r="BD14" s="42">
        <f t="shared" si="41"/>
        <v>4.3600000000000003</v>
      </c>
      <c r="BE14" s="63">
        <f t="shared" si="32"/>
        <v>47578.009357798161</v>
      </c>
      <c r="BF14" s="43">
        <f>F14-(1000*D14)</f>
        <v>207440.1208</v>
      </c>
      <c r="BG14" s="63">
        <v>78000</v>
      </c>
      <c r="BH14" s="63">
        <f t="shared" si="42"/>
        <v>129440.1208</v>
      </c>
      <c r="BI14" s="62">
        <f t="shared" si="33"/>
        <v>21.8</v>
      </c>
      <c r="BJ14" s="64">
        <f t="shared" si="34"/>
        <v>1308</v>
      </c>
      <c r="BK14" s="64">
        <f t="shared" si="35"/>
        <v>10464</v>
      </c>
      <c r="BL14" s="79">
        <v>3</v>
      </c>
    </row>
    <row r="15" spans="1:64" ht="20.100000000000001" customHeight="1">
      <c r="A15" s="61">
        <v>6</v>
      </c>
      <c r="B15" s="41">
        <v>9</v>
      </c>
      <c r="C15" s="61">
        <v>550</v>
      </c>
      <c r="D15" s="42">
        <f t="shared" si="36"/>
        <v>4.95</v>
      </c>
      <c r="E15" s="63">
        <f t="shared" si="0"/>
        <v>49550.952000000005</v>
      </c>
      <c r="F15" s="89">
        <v>245277.21240000002</v>
      </c>
      <c r="G15" s="63">
        <v>78000</v>
      </c>
      <c r="H15" s="63">
        <f t="shared" si="37"/>
        <v>167277.21240000002</v>
      </c>
      <c r="I15" s="62">
        <f t="shared" si="1"/>
        <v>24.75</v>
      </c>
      <c r="J15" s="64">
        <f t="shared" si="2"/>
        <v>1485</v>
      </c>
      <c r="K15" s="64">
        <f t="shared" si="3"/>
        <v>11880</v>
      </c>
      <c r="L15" s="79">
        <v>4</v>
      </c>
      <c r="M15" s="87" t="str">
        <f t="shared" si="4"/>
        <v>4.95 KW</v>
      </c>
      <c r="N15" s="86">
        <f t="shared" si="5"/>
        <v>120285</v>
      </c>
      <c r="O15" s="86">
        <v>29000</v>
      </c>
      <c r="P15" s="90">
        <f t="shared" si="6"/>
        <v>5760</v>
      </c>
      <c r="Q15" s="90">
        <f t="shared" si="7"/>
        <v>4800</v>
      </c>
      <c r="R15" s="90">
        <f t="shared" si="8"/>
        <v>280</v>
      </c>
      <c r="S15" s="90">
        <f t="shared" si="9"/>
        <v>468</v>
      </c>
      <c r="T15" s="90">
        <f t="shared" si="10"/>
        <v>320</v>
      </c>
      <c r="U15" s="90">
        <f t="shared" si="11"/>
        <v>425</v>
      </c>
      <c r="V15" s="86">
        <f t="shared" si="12"/>
        <v>12053</v>
      </c>
      <c r="W15" s="86">
        <f t="shared" si="38"/>
        <v>1980</v>
      </c>
      <c r="X15" s="86">
        <f t="shared" si="13"/>
        <v>1980</v>
      </c>
      <c r="Y15" s="86">
        <v>0</v>
      </c>
      <c r="Z15" s="86">
        <v>0</v>
      </c>
      <c r="AA15" s="86">
        <f>$H$28*$AA$9</f>
        <v>1350</v>
      </c>
      <c r="AB15" s="86">
        <f>$H$29*$AB$9</f>
        <v>2675</v>
      </c>
      <c r="AC15" s="86">
        <v>0</v>
      </c>
      <c r="AD15" s="86">
        <v>0</v>
      </c>
      <c r="AE15" s="86">
        <f>$H$30*$AE$9</f>
        <v>3150</v>
      </c>
      <c r="AF15" s="86">
        <f>$H$31*$AF$9</f>
        <v>360</v>
      </c>
      <c r="AG15" s="86">
        <v>0</v>
      </c>
      <c r="AH15" s="86">
        <f>$H$32*$AH$9</f>
        <v>1875</v>
      </c>
      <c r="AI15" s="86">
        <f t="shared" si="19"/>
        <v>9410</v>
      </c>
      <c r="AJ15" s="86">
        <f t="shared" si="20"/>
        <v>1200</v>
      </c>
      <c r="AK15" s="86">
        <f t="shared" si="39"/>
        <v>2970</v>
      </c>
      <c r="AL15" s="86">
        <f t="shared" si="21"/>
        <v>400</v>
      </c>
      <c r="AM15" s="86">
        <v>0</v>
      </c>
      <c r="AN15" s="86">
        <f t="shared" si="22"/>
        <v>2970</v>
      </c>
      <c r="AO15" s="86">
        <f t="shared" si="40"/>
        <v>5445</v>
      </c>
      <c r="AP15" s="86">
        <f t="shared" si="23"/>
        <v>4950</v>
      </c>
      <c r="AQ15" s="86">
        <f t="shared" si="24"/>
        <v>187693</v>
      </c>
      <c r="AR15" s="86">
        <f t="shared" si="25"/>
        <v>37538.6</v>
      </c>
      <c r="AS15" s="86">
        <f t="shared" si="26"/>
        <v>225231.6</v>
      </c>
      <c r="AT15" s="86">
        <f t="shared" si="27"/>
        <v>7883.1059999999998</v>
      </c>
      <c r="AU15" s="86">
        <f t="shared" si="28"/>
        <v>12162.506399999998</v>
      </c>
      <c r="AV15" s="90">
        <f t="shared" si="29"/>
        <v>245277.21240000002</v>
      </c>
      <c r="AW15" s="76">
        <f t="shared" si="30"/>
        <v>0</v>
      </c>
      <c r="AX15" s="86">
        <v>31143.074999999997</v>
      </c>
      <c r="AY15" s="86">
        <f t="shared" si="31"/>
        <v>16428.074999999997</v>
      </c>
      <c r="AZ15" s="86"/>
      <c r="BA15" s="61">
        <v>6</v>
      </c>
      <c r="BB15" s="41">
        <v>9</v>
      </c>
      <c r="BC15" s="61">
        <v>545</v>
      </c>
      <c r="BD15" s="42">
        <f t="shared" si="41"/>
        <v>4.9050000000000002</v>
      </c>
      <c r="BE15" s="63">
        <f t="shared" si="32"/>
        <v>48996.373577981656</v>
      </c>
      <c r="BF15" s="43">
        <f>F15-(1000*D15)</f>
        <v>240327.21240000002</v>
      </c>
      <c r="BG15" s="63">
        <v>78000</v>
      </c>
      <c r="BH15" s="63">
        <f t="shared" si="42"/>
        <v>162327.21240000002</v>
      </c>
      <c r="BI15" s="62">
        <f t="shared" si="33"/>
        <v>24.525000000000002</v>
      </c>
      <c r="BJ15" s="64">
        <f t="shared" si="34"/>
        <v>1471.5000000000002</v>
      </c>
      <c r="BK15" s="64">
        <f t="shared" si="35"/>
        <v>11772.000000000002</v>
      </c>
      <c r="BL15" s="79">
        <v>4</v>
      </c>
    </row>
    <row r="16" spans="1:64" ht="20.100000000000001" customHeight="1">
      <c r="A16" s="61">
        <v>7</v>
      </c>
      <c r="B16" s="41">
        <v>10</v>
      </c>
      <c r="C16" s="61">
        <v>550</v>
      </c>
      <c r="D16" s="42">
        <f t="shared" si="36"/>
        <v>5.5</v>
      </c>
      <c r="E16" s="63">
        <f t="shared" si="0"/>
        <v>48188.843999999997</v>
      </c>
      <c r="F16" s="89">
        <v>265038.64199999999</v>
      </c>
      <c r="G16" s="63">
        <v>78000</v>
      </c>
      <c r="H16" s="63">
        <f t="shared" si="37"/>
        <v>187038.64199999999</v>
      </c>
      <c r="I16" s="62">
        <f t="shared" si="1"/>
        <v>27.5</v>
      </c>
      <c r="J16" s="64">
        <f t="shared" si="2"/>
        <v>1650</v>
      </c>
      <c r="K16" s="64">
        <f t="shared" si="3"/>
        <v>13200</v>
      </c>
      <c r="L16" s="79">
        <v>4</v>
      </c>
      <c r="M16" s="87" t="str">
        <f t="shared" si="4"/>
        <v>5.5 KW</v>
      </c>
      <c r="N16" s="86">
        <f t="shared" si="5"/>
        <v>133650</v>
      </c>
      <c r="O16" s="86">
        <v>29000</v>
      </c>
      <c r="P16" s="90">
        <f t="shared" si="6"/>
        <v>5760</v>
      </c>
      <c r="Q16" s="90">
        <f t="shared" si="7"/>
        <v>4800</v>
      </c>
      <c r="R16" s="90">
        <f t="shared" si="8"/>
        <v>280</v>
      </c>
      <c r="S16" s="90">
        <f t="shared" si="9"/>
        <v>520</v>
      </c>
      <c r="T16" s="90">
        <f t="shared" si="10"/>
        <v>320</v>
      </c>
      <c r="U16" s="90">
        <f t="shared" si="11"/>
        <v>425</v>
      </c>
      <c r="V16" s="86">
        <f t="shared" si="12"/>
        <v>12105</v>
      </c>
      <c r="W16" s="86">
        <f t="shared" si="38"/>
        <v>2200</v>
      </c>
      <c r="X16" s="86">
        <f t="shared" si="13"/>
        <v>2200</v>
      </c>
      <c r="Y16" s="86">
        <v>0</v>
      </c>
      <c r="Z16" s="86">
        <v>0</v>
      </c>
      <c r="AA16" s="86">
        <f t="shared" ref="AA16:AA17" si="43">$H$28*$AA$9</f>
        <v>1350</v>
      </c>
      <c r="AB16" s="86">
        <f t="shared" ref="AB16:AB17" si="44">$H$29*$AB$9</f>
        <v>2675</v>
      </c>
      <c r="AC16" s="86">
        <v>0</v>
      </c>
      <c r="AD16" s="86">
        <v>0</v>
      </c>
      <c r="AE16" s="86">
        <f t="shared" ref="AE16:AE17" si="45">$H$30*$AE$9</f>
        <v>3150</v>
      </c>
      <c r="AF16" s="86">
        <f t="shared" ref="AF16:AF17" si="46">$H$31*$AF$9</f>
        <v>360</v>
      </c>
      <c r="AG16" s="86">
        <v>0</v>
      </c>
      <c r="AH16" s="86">
        <f t="shared" ref="AH16:AH17" si="47">$H$32*$AH$9</f>
        <v>1875</v>
      </c>
      <c r="AI16" s="86">
        <f t="shared" si="19"/>
        <v>9410</v>
      </c>
      <c r="AJ16" s="86">
        <f t="shared" si="20"/>
        <v>1200</v>
      </c>
      <c r="AK16" s="86">
        <f t="shared" si="39"/>
        <v>3300</v>
      </c>
      <c r="AL16" s="86">
        <f t="shared" si="21"/>
        <v>400</v>
      </c>
      <c r="AM16" s="86">
        <v>0</v>
      </c>
      <c r="AN16" s="86">
        <f t="shared" si="22"/>
        <v>3300</v>
      </c>
      <c r="AO16" s="86">
        <f t="shared" si="40"/>
        <v>6050</v>
      </c>
      <c r="AP16" s="86">
        <f t="shared" si="23"/>
        <v>5500</v>
      </c>
      <c r="AQ16" s="86">
        <f t="shared" si="24"/>
        <v>202815</v>
      </c>
      <c r="AR16" s="86">
        <f t="shared" si="25"/>
        <v>40563</v>
      </c>
      <c r="AS16" s="86">
        <f t="shared" si="26"/>
        <v>243378</v>
      </c>
      <c r="AT16" s="86">
        <f t="shared" si="27"/>
        <v>8518.23</v>
      </c>
      <c r="AU16" s="86">
        <f t="shared" si="28"/>
        <v>13142.411999999998</v>
      </c>
      <c r="AV16" s="90">
        <f t="shared" si="29"/>
        <v>265038.64199999999</v>
      </c>
      <c r="AW16" s="76">
        <f t="shared" si="30"/>
        <v>0</v>
      </c>
      <c r="AX16" s="86">
        <v>34094.25</v>
      </c>
      <c r="AY16" s="86">
        <f t="shared" si="31"/>
        <v>17744.25</v>
      </c>
      <c r="AZ16" s="86"/>
      <c r="BA16" s="61">
        <v>7</v>
      </c>
      <c r="BB16" s="41">
        <v>10</v>
      </c>
      <c r="BC16" s="61">
        <v>545</v>
      </c>
      <c r="BD16" s="42">
        <f t="shared" si="41"/>
        <v>5.45</v>
      </c>
      <c r="BE16" s="63">
        <f t="shared" si="32"/>
        <v>47621.769174311921</v>
      </c>
      <c r="BF16" s="43">
        <f t="shared" ref="BF16:BF24" si="48">F16-(1000*D16)</f>
        <v>259538.64199999999</v>
      </c>
      <c r="BG16" s="63">
        <v>78000</v>
      </c>
      <c r="BH16" s="63">
        <f t="shared" si="42"/>
        <v>181538.64199999999</v>
      </c>
      <c r="BI16" s="62">
        <f t="shared" si="33"/>
        <v>27.25</v>
      </c>
      <c r="BJ16" s="64">
        <f t="shared" si="34"/>
        <v>1635</v>
      </c>
      <c r="BK16" s="64">
        <f t="shared" si="35"/>
        <v>13080</v>
      </c>
      <c r="BL16" s="79">
        <v>4</v>
      </c>
    </row>
    <row r="17" spans="1:64" ht="20.100000000000001" customHeight="1">
      <c r="A17" s="61">
        <v>8</v>
      </c>
      <c r="B17" s="41">
        <v>11</v>
      </c>
      <c r="C17" s="61">
        <v>550</v>
      </c>
      <c r="D17" s="42">
        <f t="shared" si="36"/>
        <v>6.05</v>
      </c>
      <c r="E17" s="63">
        <f t="shared" si="0"/>
        <v>47893.032000000007</v>
      </c>
      <c r="F17" s="89">
        <v>289752.84360000002</v>
      </c>
      <c r="G17" s="63">
        <v>78000</v>
      </c>
      <c r="H17" s="63">
        <f t="shared" si="37"/>
        <v>211752.84360000002</v>
      </c>
      <c r="I17" s="62">
        <f t="shared" si="1"/>
        <v>30.25</v>
      </c>
      <c r="J17" s="64">
        <f t="shared" si="2"/>
        <v>1815</v>
      </c>
      <c r="K17" s="64">
        <f t="shared" si="3"/>
        <v>14520</v>
      </c>
      <c r="L17" s="79">
        <v>5</v>
      </c>
      <c r="M17" s="87" t="str">
        <f t="shared" si="4"/>
        <v>6.05 KW</v>
      </c>
      <c r="N17" s="86">
        <f t="shared" si="5"/>
        <v>147015</v>
      </c>
      <c r="O17" s="86">
        <v>30000</v>
      </c>
      <c r="P17" s="90">
        <f t="shared" si="6"/>
        <v>7200</v>
      </c>
      <c r="Q17" s="90">
        <f t="shared" si="7"/>
        <v>6000</v>
      </c>
      <c r="R17" s="90">
        <f t="shared" si="8"/>
        <v>350</v>
      </c>
      <c r="S17" s="90">
        <f t="shared" si="9"/>
        <v>572</v>
      </c>
      <c r="T17" s="90">
        <f t="shared" si="10"/>
        <v>400</v>
      </c>
      <c r="U17" s="90">
        <f t="shared" si="11"/>
        <v>425</v>
      </c>
      <c r="V17" s="86">
        <f t="shared" si="12"/>
        <v>14947</v>
      </c>
      <c r="W17" s="86">
        <f t="shared" si="38"/>
        <v>2420</v>
      </c>
      <c r="X17" s="86">
        <f t="shared" si="13"/>
        <v>2420</v>
      </c>
      <c r="Y17" s="86">
        <v>0</v>
      </c>
      <c r="Z17" s="86">
        <v>0</v>
      </c>
      <c r="AA17" s="86">
        <f t="shared" si="43"/>
        <v>1350</v>
      </c>
      <c r="AB17" s="86">
        <f t="shared" si="44"/>
        <v>2675</v>
      </c>
      <c r="AC17" s="86">
        <v>0</v>
      </c>
      <c r="AD17" s="86">
        <v>0</v>
      </c>
      <c r="AE17" s="86">
        <f t="shared" si="45"/>
        <v>3150</v>
      </c>
      <c r="AF17" s="86">
        <f t="shared" si="46"/>
        <v>360</v>
      </c>
      <c r="AG17" s="86">
        <v>0</v>
      </c>
      <c r="AH17" s="86">
        <f t="shared" si="47"/>
        <v>1875</v>
      </c>
      <c r="AI17" s="86">
        <f t="shared" si="19"/>
        <v>9410</v>
      </c>
      <c r="AJ17" s="86">
        <f t="shared" si="20"/>
        <v>1200</v>
      </c>
      <c r="AK17" s="86">
        <f t="shared" si="39"/>
        <v>3630</v>
      </c>
      <c r="AL17" s="86">
        <f t="shared" si="21"/>
        <v>400</v>
      </c>
      <c r="AM17" s="86">
        <v>0</v>
      </c>
      <c r="AN17" s="86">
        <f t="shared" si="22"/>
        <v>3630</v>
      </c>
      <c r="AO17" s="86">
        <f t="shared" si="40"/>
        <v>6655</v>
      </c>
      <c r="AP17" s="86">
        <f t="shared" si="23"/>
        <v>6050</v>
      </c>
      <c r="AQ17" s="86">
        <f t="shared" si="24"/>
        <v>221727</v>
      </c>
      <c r="AR17" s="86">
        <f t="shared" si="25"/>
        <v>44345.4</v>
      </c>
      <c r="AS17" s="86">
        <f t="shared" si="26"/>
        <v>266072.40000000002</v>
      </c>
      <c r="AT17" s="86">
        <f t="shared" si="27"/>
        <v>9312.5339999999997</v>
      </c>
      <c r="AU17" s="86">
        <f t="shared" si="28"/>
        <v>14367.909599999999</v>
      </c>
      <c r="AV17" s="90">
        <f t="shared" si="29"/>
        <v>289752.84360000002</v>
      </c>
      <c r="AW17" s="76">
        <f t="shared" si="30"/>
        <v>0</v>
      </c>
      <c r="AX17" s="86">
        <v>37195.424999999996</v>
      </c>
      <c r="AY17" s="86">
        <f t="shared" si="31"/>
        <v>19210.424999999996</v>
      </c>
      <c r="AZ17" s="86"/>
      <c r="BA17" s="61">
        <v>8</v>
      </c>
      <c r="BB17" s="41">
        <v>11</v>
      </c>
      <c r="BC17" s="61">
        <v>545</v>
      </c>
      <c r="BD17" s="42">
        <f t="shared" si="41"/>
        <v>5.9950000000000001</v>
      </c>
      <c r="BE17" s="63">
        <f t="shared" si="32"/>
        <v>47323.243302752293</v>
      </c>
      <c r="BF17" s="43">
        <f t="shared" si="48"/>
        <v>283702.84360000002</v>
      </c>
      <c r="BG17" s="63">
        <v>78000</v>
      </c>
      <c r="BH17" s="63">
        <f t="shared" si="42"/>
        <v>205702.84360000002</v>
      </c>
      <c r="BI17" s="62">
        <f t="shared" si="33"/>
        <v>29.975000000000001</v>
      </c>
      <c r="BJ17" s="64">
        <f t="shared" si="34"/>
        <v>1798.5</v>
      </c>
      <c r="BK17" s="64">
        <f t="shared" si="35"/>
        <v>14388</v>
      </c>
      <c r="BL17" s="79">
        <v>5</v>
      </c>
    </row>
    <row r="18" spans="1:64" ht="20.100000000000001" customHeight="1">
      <c r="A18" s="61">
        <v>9</v>
      </c>
      <c r="B18" s="41">
        <v>12</v>
      </c>
      <c r="C18" s="61">
        <v>550</v>
      </c>
      <c r="D18" s="42">
        <f t="shared" si="36"/>
        <v>6.6</v>
      </c>
      <c r="E18" s="63">
        <f t="shared" si="0"/>
        <v>47687.111999999994</v>
      </c>
      <c r="F18" s="89">
        <v>314734.93919999996</v>
      </c>
      <c r="G18" s="63">
        <v>78000</v>
      </c>
      <c r="H18" s="63">
        <f t="shared" si="37"/>
        <v>236734.93919999996</v>
      </c>
      <c r="I18" s="62">
        <f t="shared" si="1"/>
        <v>33</v>
      </c>
      <c r="J18" s="64">
        <f t="shared" si="2"/>
        <v>1980</v>
      </c>
      <c r="K18" s="64">
        <f t="shared" si="3"/>
        <v>15840</v>
      </c>
      <c r="L18" s="79">
        <v>5</v>
      </c>
      <c r="M18" s="87" t="str">
        <f t="shared" si="4"/>
        <v>6.6 KW</v>
      </c>
      <c r="N18" s="86">
        <f t="shared" si="5"/>
        <v>160380</v>
      </c>
      <c r="O18" s="86">
        <v>30000</v>
      </c>
      <c r="P18" s="90">
        <f t="shared" si="6"/>
        <v>7200</v>
      </c>
      <c r="Q18" s="90">
        <f t="shared" si="7"/>
        <v>6000</v>
      </c>
      <c r="R18" s="90">
        <f t="shared" si="8"/>
        <v>350</v>
      </c>
      <c r="S18" s="90">
        <f t="shared" si="9"/>
        <v>624</v>
      </c>
      <c r="T18" s="90">
        <f t="shared" si="10"/>
        <v>400</v>
      </c>
      <c r="U18" s="90">
        <f t="shared" si="11"/>
        <v>425</v>
      </c>
      <c r="V18" s="86">
        <f t="shared" si="12"/>
        <v>14999</v>
      </c>
      <c r="W18" s="86">
        <f>$W$9*(D18*1000)</f>
        <v>2640</v>
      </c>
      <c r="X18" s="86">
        <f t="shared" si="13"/>
        <v>2640</v>
      </c>
      <c r="Y18" s="86">
        <v>0</v>
      </c>
      <c r="Z18" s="86">
        <v>0</v>
      </c>
      <c r="AA18" s="86">
        <v>0</v>
      </c>
      <c r="AB18" s="86">
        <f>$L$29*$AB$9</f>
        <v>3745</v>
      </c>
      <c r="AC18" s="86">
        <f>$L$28*$AC$9</f>
        <v>3600</v>
      </c>
      <c r="AD18" s="86">
        <v>0</v>
      </c>
      <c r="AE18" s="86">
        <f>$L$30*$AE$9</f>
        <v>3150</v>
      </c>
      <c r="AF18" s="86">
        <f>$L$31*$AF$9</f>
        <v>360</v>
      </c>
      <c r="AG18" s="86">
        <v>0</v>
      </c>
      <c r="AH18" s="86">
        <f>$L$32*$AH$9</f>
        <v>2250</v>
      </c>
      <c r="AI18" s="86">
        <f t="shared" si="19"/>
        <v>13105</v>
      </c>
      <c r="AJ18" s="86">
        <f t="shared" si="20"/>
        <v>1200</v>
      </c>
      <c r="AK18" s="86">
        <f t="shared" si="39"/>
        <v>3960</v>
      </c>
      <c r="AL18" s="86">
        <v>700</v>
      </c>
      <c r="AM18" s="86">
        <v>0</v>
      </c>
      <c r="AN18" s="86">
        <f t="shared" si="22"/>
        <v>3960</v>
      </c>
      <c r="AO18" s="86">
        <f t="shared" si="40"/>
        <v>7260</v>
      </c>
      <c r="AP18" s="86">
        <f t="shared" si="23"/>
        <v>6600</v>
      </c>
      <c r="AQ18" s="86">
        <f t="shared" si="24"/>
        <v>240844</v>
      </c>
      <c r="AR18" s="86">
        <f t="shared" si="25"/>
        <v>48168.800000000003</v>
      </c>
      <c r="AS18" s="86">
        <f t="shared" si="26"/>
        <v>289012.8</v>
      </c>
      <c r="AT18" s="86">
        <f t="shared" si="27"/>
        <v>10115.448</v>
      </c>
      <c r="AU18" s="86">
        <f t="shared" si="28"/>
        <v>15606.691199999999</v>
      </c>
      <c r="AV18" s="90">
        <f t="shared" si="29"/>
        <v>314734.93919999996</v>
      </c>
      <c r="AW18" s="76">
        <f t="shared" si="30"/>
        <v>0</v>
      </c>
      <c r="AX18" s="86">
        <v>40199.1</v>
      </c>
      <c r="AY18" s="86">
        <f t="shared" si="31"/>
        <v>20579.099999999999</v>
      </c>
      <c r="AZ18" s="86"/>
      <c r="BA18" s="61">
        <v>9</v>
      </c>
      <c r="BB18" s="41">
        <v>12</v>
      </c>
      <c r="BC18" s="61">
        <v>545</v>
      </c>
      <c r="BD18" s="42">
        <f t="shared" si="41"/>
        <v>6.54</v>
      </c>
      <c r="BE18" s="63">
        <f t="shared" si="32"/>
        <v>47115.434128440364</v>
      </c>
      <c r="BF18" s="43">
        <f t="shared" si="48"/>
        <v>308134.93919999996</v>
      </c>
      <c r="BG18" s="63">
        <v>78000</v>
      </c>
      <c r="BH18" s="63">
        <f t="shared" si="42"/>
        <v>230134.93919999996</v>
      </c>
      <c r="BI18" s="62">
        <f t="shared" si="33"/>
        <v>32.700000000000003</v>
      </c>
      <c r="BJ18" s="64">
        <f t="shared" si="34"/>
        <v>1962.0000000000002</v>
      </c>
      <c r="BK18" s="64">
        <f t="shared" si="35"/>
        <v>15696.000000000002</v>
      </c>
      <c r="BL18" s="79">
        <v>5</v>
      </c>
    </row>
    <row r="19" spans="1:64" ht="20.100000000000001" customHeight="1">
      <c r="A19" s="61">
        <v>10</v>
      </c>
      <c r="B19" s="41">
        <v>13</v>
      </c>
      <c r="C19" s="61">
        <v>550</v>
      </c>
      <c r="D19" s="42">
        <f t="shared" si="36"/>
        <v>7.15</v>
      </c>
      <c r="E19" s="63">
        <f t="shared" si="0"/>
        <v>47292.635076923078</v>
      </c>
      <c r="F19" s="89">
        <v>338142.34080000001</v>
      </c>
      <c r="G19" s="63">
        <v>78000</v>
      </c>
      <c r="H19" s="63">
        <f t="shared" si="37"/>
        <v>260142.34080000001</v>
      </c>
      <c r="I19" s="62">
        <f t="shared" si="1"/>
        <v>35.75</v>
      </c>
      <c r="J19" s="64">
        <f t="shared" si="2"/>
        <v>2145</v>
      </c>
      <c r="K19" s="64">
        <f t="shared" si="3"/>
        <v>17160</v>
      </c>
      <c r="L19" s="79">
        <v>6</v>
      </c>
      <c r="M19" s="87" t="str">
        <f t="shared" si="4"/>
        <v>7.15 KW</v>
      </c>
      <c r="N19" s="86">
        <f t="shared" si="5"/>
        <v>173745</v>
      </c>
      <c r="O19" s="86">
        <v>30000</v>
      </c>
      <c r="P19" s="90">
        <f t="shared" si="6"/>
        <v>8640</v>
      </c>
      <c r="Q19" s="90">
        <f t="shared" si="7"/>
        <v>7200</v>
      </c>
      <c r="R19" s="90">
        <f t="shared" si="8"/>
        <v>420</v>
      </c>
      <c r="S19" s="90">
        <f t="shared" si="9"/>
        <v>676</v>
      </c>
      <c r="T19" s="90">
        <f t="shared" si="10"/>
        <v>480</v>
      </c>
      <c r="U19" s="90">
        <f t="shared" si="11"/>
        <v>425</v>
      </c>
      <c r="V19" s="86">
        <f t="shared" si="12"/>
        <v>17841</v>
      </c>
      <c r="W19" s="86">
        <f t="shared" si="38"/>
        <v>2860</v>
      </c>
      <c r="X19" s="86">
        <f t="shared" si="13"/>
        <v>2860</v>
      </c>
      <c r="Y19" s="86">
        <v>0</v>
      </c>
      <c r="Z19" s="86">
        <v>0</v>
      </c>
      <c r="AA19" s="86">
        <v>0</v>
      </c>
      <c r="AB19" s="86">
        <f t="shared" ref="AB19:AB24" si="49">$L$29*$AB$9</f>
        <v>3745</v>
      </c>
      <c r="AC19" s="86">
        <f t="shared" ref="AC19:AC24" si="50">$L$28*$AC$9</f>
        <v>3600</v>
      </c>
      <c r="AD19" s="86">
        <v>0</v>
      </c>
      <c r="AE19" s="86">
        <f t="shared" ref="AE19:AE24" si="51">$L$30*$AE$9</f>
        <v>3150</v>
      </c>
      <c r="AF19" s="86">
        <f t="shared" ref="AF19:AF24" si="52">$L$31*$AF$9</f>
        <v>360</v>
      </c>
      <c r="AG19" s="86">
        <v>0</v>
      </c>
      <c r="AH19" s="86">
        <f t="shared" ref="AH19:AH24" si="53">$L$32*$AH$9</f>
        <v>2250</v>
      </c>
      <c r="AI19" s="86">
        <f t="shared" si="19"/>
        <v>13105</v>
      </c>
      <c r="AJ19" s="86">
        <f t="shared" si="20"/>
        <v>1200</v>
      </c>
      <c r="AK19" s="86">
        <f t="shared" si="39"/>
        <v>4290</v>
      </c>
      <c r="AL19" s="86">
        <v>700</v>
      </c>
      <c r="AM19" s="86">
        <v>0</v>
      </c>
      <c r="AN19" s="86">
        <f t="shared" si="22"/>
        <v>4290</v>
      </c>
      <c r="AO19" s="86">
        <f t="shared" si="40"/>
        <v>7865</v>
      </c>
      <c r="AP19" s="86">
        <f t="shared" si="23"/>
        <v>7150</v>
      </c>
      <c r="AQ19" s="86">
        <f t="shared" si="24"/>
        <v>258756</v>
      </c>
      <c r="AR19" s="86">
        <f t="shared" si="25"/>
        <v>51751.200000000004</v>
      </c>
      <c r="AS19" s="86">
        <f t="shared" si="26"/>
        <v>310507.2</v>
      </c>
      <c r="AT19" s="86">
        <f t="shared" si="27"/>
        <v>10867.752</v>
      </c>
      <c r="AU19" s="86">
        <f t="shared" si="28"/>
        <v>16767.388800000001</v>
      </c>
      <c r="AV19" s="90">
        <f t="shared" si="29"/>
        <v>338142.34080000001</v>
      </c>
      <c r="AW19" s="76">
        <f t="shared" si="30"/>
        <v>0</v>
      </c>
      <c r="AX19" s="86">
        <v>43150.275000000001</v>
      </c>
      <c r="AY19" s="86">
        <f t="shared" si="31"/>
        <v>21895.275000000001</v>
      </c>
      <c r="AZ19" s="86"/>
      <c r="BA19" s="61">
        <v>10</v>
      </c>
      <c r="BB19" s="41">
        <v>13</v>
      </c>
      <c r="BC19" s="61">
        <v>545</v>
      </c>
      <c r="BD19" s="42">
        <f t="shared" si="41"/>
        <v>7.085</v>
      </c>
      <c r="BE19" s="63">
        <f t="shared" si="32"/>
        <v>46717.338151023287</v>
      </c>
      <c r="BF19" s="43">
        <f t="shared" si="48"/>
        <v>330992.34080000001</v>
      </c>
      <c r="BG19" s="63">
        <v>78000</v>
      </c>
      <c r="BH19" s="63">
        <f t="shared" si="42"/>
        <v>252992.34080000001</v>
      </c>
      <c r="BI19" s="62">
        <f t="shared" si="33"/>
        <v>35.424999999999997</v>
      </c>
      <c r="BJ19" s="64">
        <f t="shared" si="34"/>
        <v>2125.5</v>
      </c>
      <c r="BK19" s="64">
        <f t="shared" si="35"/>
        <v>17004</v>
      </c>
      <c r="BL19" s="79">
        <v>6</v>
      </c>
    </row>
    <row r="20" spans="1:64" ht="20.100000000000001" customHeight="1">
      <c r="A20" s="61">
        <v>11</v>
      </c>
      <c r="B20" s="41">
        <v>14</v>
      </c>
      <c r="C20" s="61">
        <v>550</v>
      </c>
      <c r="D20" s="42">
        <f t="shared" si="36"/>
        <v>7.7</v>
      </c>
      <c r="E20" s="63">
        <f t="shared" si="0"/>
        <v>50129.866285714284</v>
      </c>
      <c r="F20" s="89">
        <v>385999.97039999999</v>
      </c>
      <c r="G20" s="63">
        <v>78000</v>
      </c>
      <c r="H20" s="63">
        <f t="shared" si="37"/>
        <v>307999.97039999999</v>
      </c>
      <c r="I20" s="62">
        <f t="shared" si="1"/>
        <v>38.5</v>
      </c>
      <c r="J20" s="64">
        <f t="shared" si="2"/>
        <v>2310</v>
      </c>
      <c r="K20" s="64">
        <f t="shared" si="3"/>
        <v>18480</v>
      </c>
      <c r="L20" s="79">
        <v>6</v>
      </c>
      <c r="M20" s="87" t="str">
        <f t="shared" si="4"/>
        <v>7.7 KW</v>
      </c>
      <c r="N20" s="86">
        <f t="shared" si="5"/>
        <v>187110</v>
      </c>
      <c r="O20" s="86">
        <v>51500</v>
      </c>
      <c r="P20" s="90">
        <f t="shared" si="6"/>
        <v>8640</v>
      </c>
      <c r="Q20" s="90">
        <f t="shared" si="7"/>
        <v>7200</v>
      </c>
      <c r="R20" s="90">
        <f t="shared" si="8"/>
        <v>420</v>
      </c>
      <c r="S20" s="90">
        <f t="shared" si="9"/>
        <v>728</v>
      </c>
      <c r="T20" s="90">
        <f t="shared" si="10"/>
        <v>480</v>
      </c>
      <c r="U20" s="90">
        <f t="shared" si="11"/>
        <v>425</v>
      </c>
      <c r="V20" s="86">
        <f t="shared" si="12"/>
        <v>17893</v>
      </c>
      <c r="W20" s="86">
        <f t="shared" si="38"/>
        <v>3080</v>
      </c>
      <c r="X20" s="86">
        <f t="shared" si="13"/>
        <v>3080</v>
      </c>
      <c r="Y20" s="86">
        <v>0</v>
      </c>
      <c r="Z20" s="86">
        <v>0</v>
      </c>
      <c r="AA20" s="86">
        <v>0</v>
      </c>
      <c r="AB20" s="86">
        <f t="shared" si="49"/>
        <v>3745</v>
      </c>
      <c r="AC20" s="86">
        <f t="shared" si="50"/>
        <v>3600</v>
      </c>
      <c r="AD20" s="86">
        <v>0</v>
      </c>
      <c r="AE20" s="86">
        <f t="shared" si="51"/>
        <v>3150</v>
      </c>
      <c r="AF20" s="86">
        <f t="shared" si="52"/>
        <v>360</v>
      </c>
      <c r="AG20" s="86">
        <v>0</v>
      </c>
      <c r="AH20" s="86">
        <f t="shared" si="53"/>
        <v>2250</v>
      </c>
      <c r="AI20" s="86">
        <f t="shared" si="19"/>
        <v>13105</v>
      </c>
      <c r="AJ20" s="86">
        <f t="shared" si="20"/>
        <v>1200</v>
      </c>
      <c r="AK20" s="86">
        <f t="shared" si="39"/>
        <v>4620</v>
      </c>
      <c r="AL20" s="86">
        <v>700</v>
      </c>
      <c r="AM20" s="86">
        <v>0</v>
      </c>
      <c r="AN20" s="86">
        <f t="shared" si="22"/>
        <v>4620</v>
      </c>
      <c r="AO20" s="86">
        <f t="shared" si="40"/>
        <v>8470</v>
      </c>
      <c r="AP20" s="86">
        <f t="shared" si="23"/>
        <v>7700</v>
      </c>
      <c r="AQ20" s="86">
        <f t="shared" si="24"/>
        <v>295378</v>
      </c>
      <c r="AR20" s="86">
        <f t="shared" si="25"/>
        <v>59075.600000000006</v>
      </c>
      <c r="AS20" s="86">
        <f t="shared" si="26"/>
        <v>354453.6</v>
      </c>
      <c r="AT20" s="86">
        <f t="shared" si="27"/>
        <v>12405.875999999998</v>
      </c>
      <c r="AU20" s="86">
        <f t="shared" si="28"/>
        <v>19140.494399999996</v>
      </c>
      <c r="AV20" s="90">
        <f t="shared" si="29"/>
        <v>385999.97039999999</v>
      </c>
      <c r="AW20" s="76">
        <f t="shared" si="30"/>
        <v>0</v>
      </c>
      <c r="AX20" s="86">
        <v>49326.45</v>
      </c>
      <c r="AY20" s="86">
        <f t="shared" si="31"/>
        <v>26436.449999999997</v>
      </c>
      <c r="AZ20" s="86"/>
      <c r="BA20" s="61">
        <v>11</v>
      </c>
      <c r="BB20" s="41">
        <v>14</v>
      </c>
      <c r="BC20" s="61">
        <v>545</v>
      </c>
      <c r="BD20" s="42">
        <f t="shared" si="41"/>
        <v>7.63</v>
      </c>
      <c r="BE20" s="63">
        <f t="shared" si="32"/>
        <v>49580.599003931849</v>
      </c>
      <c r="BF20" s="43">
        <f t="shared" si="48"/>
        <v>378299.97039999999</v>
      </c>
      <c r="BG20" s="63">
        <v>78000</v>
      </c>
      <c r="BH20" s="63">
        <f t="shared" si="42"/>
        <v>300299.97039999999</v>
      </c>
      <c r="BI20" s="62">
        <f t="shared" si="33"/>
        <v>38.15</v>
      </c>
      <c r="BJ20" s="64">
        <f t="shared" si="34"/>
        <v>2289</v>
      </c>
      <c r="BK20" s="64">
        <f t="shared" si="35"/>
        <v>18312</v>
      </c>
      <c r="BL20" s="79">
        <v>6</v>
      </c>
    </row>
    <row r="21" spans="1:64" ht="20.100000000000001" customHeight="1">
      <c r="A21" s="61">
        <v>12</v>
      </c>
      <c r="B21" s="41">
        <v>15</v>
      </c>
      <c r="C21" s="61">
        <v>550</v>
      </c>
      <c r="D21" s="42">
        <f t="shared" si="36"/>
        <v>8.25</v>
      </c>
      <c r="E21" s="63">
        <f t="shared" si="0"/>
        <v>49183.200000000004</v>
      </c>
      <c r="F21" s="89">
        <v>405761.4</v>
      </c>
      <c r="G21" s="63">
        <v>78000</v>
      </c>
      <c r="H21" s="63">
        <f t="shared" si="37"/>
        <v>327761.40000000002</v>
      </c>
      <c r="I21" s="62">
        <f t="shared" si="1"/>
        <v>41.25</v>
      </c>
      <c r="J21" s="64">
        <f t="shared" si="2"/>
        <v>2475</v>
      </c>
      <c r="K21" s="64">
        <f t="shared" si="3"/>
        <v>19800</v>
      </c>
      <c r="L21" s="79">
        <v>6</v>
      </c>
      <c r="M21" s="87" t="str">
        <f t="shared" si="4"/>
        <v>8.25 KW</v>
      </c>
      <c r="N21" s="86">
        <f t="shared" si="5"/>
        <v>200475</v>
      </c>
      <c r="O21" s="86">
        <v>51500</v>
      </c>
      <c r="P21" s="90">
        <f t="shared" si="6"/>
        <v>8640</v>
      </c>
      <c r="Q21" s="90">
        <f t="shared" si="7"/>
        <v>7200</v>
      </c>
      <c r="R21" s="90">
        <f t="shared" si="8"/>
        <v>420</v>
      </c>
      <c r="S21" s="90">
        <f t="shared" si="9"/>
        <v>780</v>
      </c>
      <c r="T21" s="90">
        <f t="shared" si="10"/>
        <v>480</v>
      </c>
      <c r="U21" s="90">
        <f t="shared" si="11"/>
        <v>425</v>
      </c>
      <c r="V21" s="86">
        <f t="shared" si="12"/>
        <v>17945</v>
      </c>
      <c r="W21" s="86">
        <f t="shared" si="38"/>
        <v>3300</v>
      </c>
      <c r="X21" s="86">
        <f t="shared" si="13"/>
        <v>3300</v>
      </c>
      <c r="Y21" s="86">
        <v>0</v>
      </c>
      <c r="Z21" s="86">
        <v>0</v>
      </c>
      <c r="AA21" s="86">
        <v>0</v>
      </c>
      <c r="AB21" s="86">
        <f t="shared" si="49"/>
        <v>3745</v>
      </c>
      <c r="AC21" s="86">
        <f t="shared" si="50"/>
        <v>3600</v>
      </c>
      <c r="AD21" s="86">
        <v>0</v>
      </c>
      <c r="AE21" s="86">
        <f t="shared" si="51"/>
        <v>3150</v>
      </c>
      <c r="AF21" s="86">
        <f t="shared" si="52"/>
        <v>360</v>
      </c>
      <c r="AG21" s="86">
        <v>0</v>
      </c>
      <c r="AH21" s="86">
        <f t="shared" si="53"/>
        <v>2250</v>
      </c>
      <c r="AI21" s="86">
        <f t="shared" si="19"/>
        <v>13105</v>
      </c>
      <c r="AJ21" s="86">
        <f t="shared" si="20"/>
        <v>1200</v>
      </c>
      <c r="AK21" s="86">
        <f t="shared" si="39"/>
        <v>4950</v>
      </c>
      <c r="AL21" s="86">
        <v>700</v>
      </c>
      <c r="AM21" s="86">
        <v>0</v>
      </c>
      <c r="AN21" s="86">
        <f t="shared" si="22"/>
        <v>4950</v>
      </c>
      <c r="AO21" s="86">
        <f t="shared" si="40"/>
        <v>9075</v>
      </c>
      <c r="AP21" s="86">
        <f t="shared" si="23"/>
        <v>8250</v>
      </c>
      <c r="AQ21" s="86">
        <f t="shared" si="24"/>
        <v>310500</v>
      </c>
      <c r="AR21" s="86">
        <f t="shared" si="25"/>
        <v>62100</v>
      </c>
      <c r="AS21" s="86">
        <f t="shared" si="26"/>
        <v>372600</v>
      </c>
      <c r="AT21" s="86">
        <f t="shared" si="27"/>
        <v>13041</v>
      </c>
      <c r="AU21" s="86">
        <f t="shared" si="28"/>
        <v>20120.399999999998</v>
      </c>
      <c r="AV21" s="90">
        <f t="shared" si="29"/>
        <v>405761.4</v>
      </c>
      <c r="AW21" s="76">
        <f t="shared" si="30"/>
        <v>0</v>
      </c>
      <c r="AX21" s="86">
        <v>52277.625000000007</v>
      </c>
      <c r="AY21" s="86">
        <f t="shared" si="31"/>
        <v>27752.625000000004</v>
      </c>
      <c r="AZ21" s="86"/>
      <c r="BA21" s="61">
        <v>12</v>
      </c>
      <c r="BB21" s="41">
        <v>15</v>
      </c>
      <c r="BC21" s="61">
        <v>545</v>
      </c>
      <c r="BD21" s="42">
        <f t="shared" si="41"/>
        <v>8.1750000000000007</v>
      </c>
      <c r="BE21" s="63">
        <f t="shared" si="32"/>
        <v>48625.247706422015</v>
      </c>
      <c r="BF21" s="43">
        <f t="shared" si="48"/>
        <v>397511.4</v>
      </c>
      <c r="BG21" s="63">
        <v>78000</v>
      </c>
      <c r="BH21" s="63">
        <f t="shared" si="42"/>
        <v>319511.40000000002</v>
      </c>
      <c r="BI21" s="62">
        <f t="shared" si="33"/>
        <v>40.875</v>
      </c>
      <c r="BJ21" s="64">
        <f t="shared" si="34"/>
        <v>2452.5</v>
      </c>
      <c r="BK21" s="64">
        <f t="shared" si="35"/>
        <v>19620</v>
      </c>
      <c r="BL21" s="79">
        <v>6</v>
      </c>
    </row>
    <row r="22" spans="1:64" ht="20.100000000000001" customHeight="1">
      <c r="A22" s="61">
        <v>13</v>
      </c>
      <c r="B22" s="41">
        <v>16</v>
      </c>
      <c r="C22" s="61">
        <v>550</v>
      </c>
      <c r="D22" s="42">
        <f t="shared" si="36"/>
        <v>8.8000000000000007</v>
      </c>
      <c r="E22" s="63">
        <f t="shared" si="0"/>
        <v>48769.181999999993</v>
      </c>
      <c r="F22" s="89">
        <v>429168.80160000001</v>
      </c>
      <c r="G22" s="63">
        <v>78000</v>
      </c>
      <c r="H22" s="63">
        <f t="shared" si="37"/>
        <v>351168.80160000001</v>
      </c>
      <c r="I22" s="62">
        <f t="shared" si="1"/>
        <v>44</v>
      </c>
      <c r="J22" s="64">
        <f t="shared" si="2"/>
        <v>2640</v>
      </c>
      <c r="K22" s="64">
        <f t="shared" si="3"/>
        <v>21120</v>
      </c>
      <c r="L22" s="79">
        <v>7</v>
      </c>
      <c r="M22" s="87" t="str">
        <f t="shared" si="4"/>
        <v>8.8 KW</v>
      </c>
      <c r="N22" s="86">
        <f t="shared" si="5"/>
        <v>213840</v>
      </c>
      <c r="O22" s="86">
        <v>51500</v>
      </c>
      <c r="P22" s="90">
        <f t="shared" si="6"/>
        <v>10080</v>
      </c>
      <c r="Q22" s="90">
        <f t="shared" si="7"/>
        <v>8400</v>
      </c>
      <c r="R22" s="90">
        <f t="shared" si="8"/>
        <v>490</v>
      </c>
      <c r="S22" s="90">
        <f t="shared" si="9"/>
        <v>832</v>
      </c>
      <c r="T22" s="90">
        <f t="shared" si="10"/>
        <v>560</v>
      </c>
      <c r="U22" s="90">
        <f t="shared" si="11"/>
        <v>425</v>
      </c>
      <c r="V22" s="86">
        <f t="shared" si="12"/>
        <v>20787</v>
      </c>
      <c r="W22" s="86">
        <f t="shared" si="38"/>
        <v>3520</v>
      </c>
      <c r="X22" s="86">
        <f t="shared" si="13"/>
        <v>3520</v>
      </c>
      <c r="Y22" s="86">
        <v>0</v>
      </c>
      <c r="Z22" s="86">
        <v>0</v>
      </c>
      <c r="AA22" s="86">
        <v>0</v>
      </c>
      <c r="AB22" s="86">
        <f t="shared" si="49"/>
        <v>3745</v>
      </c>
      <c r="AC22" s="86">
        <f t="shared" si="50"/>
        <v>3600</v>
      </c>
      <c r="AD22" s="86">
        <v>0</v>
      </c>
      <c r="AE22" s="86">
        <f t="shared" si="51"/>
        <v>3150</v>
      </c>
      <c r="AF22" s="86">
        <f t="shared" si="52"/>
        <v>360</v>
      </c>
      <c r="AG22" s="86">
        <v>0</v>
      </c>
      <c r="AH22" s="86">
        <f t="shared" si="53"/>
        <v>2250</v>
      </c>
      <c r="AI22" s="86">
        <f t="shared" si="19"/>
        <v>13105</v>
      </c>
      <c r="AJ22" s="86">
        <f t="shared" si="20"/>
        <v>1200</v>
      </c>
      <c r="AK22" s="86">
        <f t="shared" si="39"/>
        <v>5280.0000000000009</v>
      </c>
      <c r="AL22" s="86">
        <v>700</v>
      </c>
      <c r="AM22" s="86">
        <v>0</v>
      </c>
      <c r="AN22" s="86">
        <f t="shared" si="22"/>
        <v>5280</v>
      </c>
      <c r="AO22" s="86">
        <f t="shared" si="40"/>
        <v>9680</v>
      </c>
      <c r="AP22" s="86">
        <f t="shared" si="23"/>
        <v>8800</v>
      </c>
      <c r="AQ22" s="86">
        <f t="shared" si="24"/>
        <v>328412</v>
      </c>
      <c r="AR22" s="86">
        <f t="shared" si="25"/>
        <v>65682.400000000009</v>
      </c>
      <c r="AS22" s="86">
        <f t="shared" si="26"/>
        <v>394094.4</v>
      </c>
      <c r="AT22" s="86">
        <f t="shared" si="27"/>
        <v>13793.304000000002</v>
      </c>
      <c r="AU22" s="86">
        <f t="shared" si="28"/>
        <v>21281.097600000001</v>
      </c>
      <c r="AV22" s="90">
        <f t="shared" si="29"/>
        <v>429168.80160000001</v>
      </c>
      <c r="AW22" s="76">
        <f t="shared" si="30"/>
        <v>0</v>
      </c>
      <c r="AX22" s="86">
        <v>55228.799999999996</v>
      </c>
      <c r="AY22" s="86">
        <f t="shared" si="31"/>
        <v>29068.799999999992</v>
      </c>
      <c r="AZ22" s="86"/>
      <c r="BA22" s="61">
        <v>13</v>
      </c>
      <c r="BB22" s="41">
        <v>16</v>
      </c>
      <c r="BC22" s="61">
        <v>545</v>
      </c>
      <c r="BD22" s="42">
        <f t="shared" si="41"/>
        <v>8.7200000000000006</v>
      </c>
      <c r="BE22" s="63">
        <f t="shared" si="32"/>
        <v>48207.431376146786</v>
      </c>
      <c r="BF22" s="43">
        <f t="shared" si="48"/>
        <v>420368.80160000001</v>
      </c>
      <c r="BG22" s="63">
        <v>78000</v>
      </c>
      <c r="BH22" s="63">
        <f t="shared" si="42"/>
        <v>342368.80160000001</v>
      </c>
      <c r="BI22" s="62">
        <f t="shared" si="33"/>
        <v>43.6</v>
      </c>
      <c r="BJ22" s="64">
        <f t="shared" si="34"/>
        <v>2616</v>
      </c>
      <c r="BK22" s="64">
        <f t="shared" si="35"/>
        <v>20928</v>
      </c>
      <c r="BL22" s="79">
        <v>7</v>
      </c>
    </row>
    <row r="23" spans="1:64" ht="20.100000000000001" customHeight="1">
      <c r="A23" s="61">
        <v>14</v>
      </c>
      <c r="B23" s="41">
        <v>17</v>
      </c>
      <c r="C23" s="61">
        <v>550</v>
      </c>
      <c r="D23" s="42">
        <f t="shared" si="36"/>
        <v>9.35</v>
      </c>
      <c r="E23" s="63">
        <f t="shared" si="0"/>
        <v>48013.928470588238</v>
      </c>
      <c r="F23" s="89">
        <v>448930.23119999998</v>
      </c>
      <c r="G23" s="63">
        <v>78000</v>
      </c>
      <c r="H23" s="63">
        <f t="shared" si="37"/>
        <v>370930.23119999998</v>
      </c>
      <c r="I23" s="62">
        <f t="shared" si="1"/>
        <v>46.75</v>
      </c>
      <c r="J23" s="64">
        <f t="shared" si="2"/>
        <v>2805</v>
      </c>
      <c r="K23" s="64">
        <f t="shared" si="3"/>
        <v>22440</v>
      </c>
      <c r="L23" s="79">
        <v>7</v>
      </c>
      <c r="M23" s="87" t="str">
        <f t="shared" si="4"/>
        <v>9.35 KW</v>
      </c>
      <c r="N23" s="86">
        <f t="shared" si="5"/>
        <v>227205</v>
      </c>
      <c r="O23" s="86">
        <v>51500</v>
      </c>
      <c r="P23" s="90">
        <f t="shared" si="6"/>
        <v>10080</v>
      </c>
      <c r="Q23" s="90">
        <f t="shared" si="7"/>
        <v>8400</v>
      </c>
      <c r="R23" s="90">
        <f t="shared" si="8"/>
        <v>490</v>
      </c>
      <c r="S23" s="90">
        <f t="shared" si="9"/>
        <v>884</v>
      </c>
      <c r="T23" s="90">
        <f t="shared" si="10"/>
        <v>560</v>
      </c>
      <c r="U23" s="90">
        <f t="shared" si="11"/>
        <v>425</v>
      </c>
      <c r="V23" s="86">
        <f t="shared" si="12"/>
        <v>20839</v>
      </c>
      <c r="W23" s="86">
        <f t="shared" si="38"/>
        <v>3740</v>
      </c>
      <c r="X23" s="86">
        <f t="shared" si="13"/>
        <v>3740</v>
      </c>
      <c r="Y23" s="86">
        <v>0</v>
      </c>
      <c r="Z23" s="86">
        <v>0</v>
      </c>
      <c r="AA23" s="86">
        <v>0</v>
      </c>
      <c r="AB23" s="86">
        <f t="shared" si="49"/>
        <v>3745</v>
      </c>
      <c r="AC23" s="86">
        <f t="shared" si="50"/>
        <v>3600</v>
      </c>
      <c r="AD23" s="86">
        <v>0</v>
      </c>
      <c r="AE23" s="86">
        <f t="shared" si="51"/>
        <v>3150</v>
      </c>
      <c r="AF23" s="86">
        <f t="shared" si="52"/>
        <v>360</v>
      </c>
      <c r="AG23" s="86">
        <v>0</v>
      </c>
      <c r="AH23" s="86">
        <f t="shared" si="53"/>
        <v>2250</v>
      </c>
      <c r="AI23" s="86">
        <f t="shared" si="19"/>
        <v>13105</v>
      </c>
      <c r="AJ23" s="86">
        <f t="shared" si="20"/>
        <v>1200</v>
      </c>
      <c r="AK23" s="86">
        <f t="shared" si="39"/>
        <v>5610</v>
      </c>
      <c r="AL23" s="86">
        <v>700</v>
      </c>
      <c r="AM23" s="86">
        <v>0</v>
      </c>
      <c r="AN23" s="86">
        <f t="shared" si="22"/>
        <v>5610</v>
      </c>
      <c r="AO23" s="86">
        <f t="shared" si="40"/>
        <v>10285</v>
      </c>
      <c r="AP23" s="86">
        <f t="shared" si="23"/>
        <v>9350</v>
      </c>
      <c r="AQ23" s="86">
        <f t="shared" si="24"/>
        <v>343534</v>
      </c>
      <c r="AR23" s="86">
        <f t="shared" si="25"/>
        <v>68706.8</v>
      </c>
      <c r="AS23" s="86">
        <f t="shared" si="26"/>
        <v>412240.8</v>
      </c>
      <c r="AT23" s="86">
        <f t="shared" si="27"/>
        <v>14428.428</v>
      </c>
      <c r="AU23" s="86">
        <f t="shared" si="28"/>
        <v>22261.003199999999</v>
      </c>
      <c r="AV23" s="90">
        <f t="shared" si="29"/>
        <v>448930.23119999998</v>
      </c>
      <c r="AW23" s="76">
        <f t="shared" si="30"/>
        <v>0</v>
      </c>
      <c r="AX23" s="86">
        <v>58179.974999999999</v>
      </c>
      <c r="AY23" s="86">
        <f t="shared" si="31"/>
        <v>30384.974999999999</v>
      </c>
      <c r="AZ23" s="86"/>
      <c r="BA23" s="61">
        <v>14</v>
      </c>
      <c r="BB23" s="41">
        <v>17</v>
      </c>
      <c r="BC23" s="61">
        <v>545</v>
      </c>
      <c r="BD23" s="42">
        <f t="shared" si="41"/>
        <v>9.2650000000000006</v>
      </c>
      <c r="BE23" s="63">
        <f t="shared" si="32"/>
        <v>47445.248915272525</v>
      </c>
      <c r="BF23" s="43">
        <f t="shared" si="48"/>
        <v>439580.23119999998</v>
      </c>
      <c r="BG23" s="63">
        <v>78000</v>
      </c>
      <c r="BH23" s="63">
        <f t="shared" si="42"/>
        <v>361580.23119999998</v>
      </c>
      <c r="BI23" s="62">
        <f t="shared" si="33"/>
        <v>46.325000000000003</v>
      </c>
      <c r="BJ23" s="64">
        <f t="shared" si="34"/>
        <v>2779.5</v>
      </c>
      <c r="BK23" s="64">
        <f t="shared" si="35"/>
        <v>22236</v>
      </c>
      <c r="BL23" s="79">
        <v>7</v>
      </c>
    </row>
    <row r="24" spans="1:64" ht="20.100000000000001" customHeight="1" thickBot="1">
      <c r="A24" s="65">
        <v>15</v>
      </c>
      <c r="B24" s="59">
        <v>18</v>
      </c>
      <c r="C24" s="61">
        <v>550</v>
      </c>
      <c r="D24" s="60">
        <f t="shared" si="36"/>
        <v>9.9</v>
      </c>
      <c r="E24" s="63">
        <f t="shared" si="0"/>
        <v>47974.871999999996</v>
      </c>
      <c r="F24" s="91">
        <v>474951.2328</v>
      </c>
      <c r="G24" s="67">
        <v>78000</v>
      </c>
      <c r="H24" s="67">
        <f t="shared" si="37"/>
        <v>396951.2328</v>
      </c>
      <c r="I24" s="66">
        <f t="shared" si="1"/>
        <v>49.5</v>
      </c>
      <c r="J24" s="68">
        <f t="shared" si="2"/>
        <v>2970</v>
      </c>
      <c r="K24" s="68">
        <f t="shared" si="3"/>
        <v>23760</v>
      </c>
      <c r="L24" s="80">
        <v>8</v>
      </c>
      <c r="M24" s="87" t="str">
        <f t="shared" si="4"/>
        <v>9.9 KW</v>
      </c>
      <c r="N24" s="86">
        <f t="shared" si="5"/>
        <v>240570</v>
      </c>
      <c r="O24" s="86">
        <v>53500</v>
      </c>
      <c r="P24" s="90">
        <f t="shared" si="6"/>
        <v>11520</v>
      </c>
      <c r="Q24" s="90">
        <f t="shared" si="7"/>
        <v>9600</v>
      </c>
      <c r="R24" s="90">
        <f t="shared" si="8"/>
        <v>560</v>
      </c>
      <c r="S24" s="90">
        <f t="shared" si="9"/>
        <v>936</v>
      </c>
      <c r="T24" s="90">
        <f t="shared" si="10"/>
        <v>640</v>
      </c>
      <c r="U24" s="90">
        <f t="shared" si="11"/>
        <v>425</v>
      </c>
      <c r="V24" s="86">
        <f t="shared" si="12"/>
        <v>23681</v>
      </c>
      <c r="W24" s="86">
        <f t="shared" si="38"/>
        <v>3960</v>
      </c>
      <c r="X24" s="86">
        <f t="shared" si="13"/>
        <v>3960</v>
      </c>
      <c r="Y24" s="86">
        <v>0</v>
      </c>
      <c r="Z24" s="86">
        <v>0</v>
      </c>
      <c r="AA24" s="86">
        <v>0</v>
      </c>
      <c r="AB24" s="86">
        <f t="shared" si="49"/>
        <v>3745</v>
      </c>
      <c r="AC24" s="86">
        <f t="shared" si="50"/>
        <v>3600</v>
      </c>
      <c r="AD24" s="86">
        <v>0</v>
      </c>
      <c r="AE24" s="86">
        <f t="shared" si="51"/>
        <v>3150</v>
      </c>
      <c r="AF24" s="86">
        <f t="shared" si="52"/>
        <v>360</v>
      </c>
      <c r="AG24" s="86">
        <v>0</v>
      </c>
      <c r="AH24" s="86">
        <f t="shared" si="53"/>
        <v>2250</v>
      </c>
      <c r="AI24" s="86">
        <f t="shared" si="19"/>
        <v>13105</v>
      </c>
      <c r="AJ24" s="86">
        <f t="shared" si="20"/>
        <v>1200</v>
      </c>
      <c r="AK24" s="86">
        <f t="shared" si="39"/>
        <v>5940</v>
      </c>
      <c r="AL24" s="86">
        <v>700</v>
      </c>
      <c r="AM24" s="86">
        <v>0</v>
      </c>
      <c r="AN24" s="86">
        <f t="shared" si="22"/>
        <v>5940</v>
      </c>
      <c r="AO24" s="86">
        <f t="shared" si="40"/>
        <v>10890</v>
      </c>
      <c r="AP24" s="86">
        <f t="shared" si="23"/>
        <v>9900</v>
      </c>
      <c r="AQ24" s="86">
        <f t="shared" si="24"/>
        <v>363446</v>
      </c>
      <c r="AR24" s="86">
        <f t="shared" si="25"/>
        <v>72689.2</v>
      </c>
      <c r="AS24" s="86">
        <f t="shared" si="26"/>
        <v>436135.2</v>
      </c>
      <c r="AT24" s="86">
        <f t="shared" si="27"/>
        <v>15264.732000000002</v>
      </c>
      <c r="AU24" s="86">
        <f t="shared" si="28"/>
        <v>23551.300799999997</v>
      </c>
      <c r="AV24" s="90">
        <f t="shared" si="29"/>
        <v>474951.2328</v>
      </c>
      <c r="AW24" s="76">
        <f t="shared" si="30"/>
        <v>0</v>
      </c>
      <c r="AX24" s="86">
        <v>61431.149999999994</v>
      </c>
      <c r="AY24" s="86">
        <f t="shared" si="31"/>
        <v>32001.149999999994</v>
      </c>
      <c r="AZ24" s="88"/>
      <c r="BA24" s="65">
        <v>15</v>
      </c>
      <c r="BB24" s="59">
        <v>18</v>
      </c>
      <c r="BC24" s="61">
        <v>545</v>
      </c>
      <c r="BD24" s="60">
        <f t="shared" si="41"/>
        <v>9.81</v>
      </c>
      <c r="BE24" s="63">
        <f t="shared" si="32"/>
        <v>47405.834128440365</v>
      </c>
      <c r="BF24" s="43">
        <f t="shared" si="48"/>
        <v>465051.2328</v>
      </c>
      <c r="BG24" s="67">
        <v>78000</v>
      </c>
      <c r="BH24" s="67">
        <f t="shared" si="42"/>
        <v>387051.2328</v>
      </c>
      <c r="BI24" s="66">
        <f t="shared" si="33"/>
        <v>49.050000000000004</v>
      </c>
      <c r="BJ24" s="68">
        <f t="shared" si="34"/>
        <v>2943.0000000000005</v>
      </c>
      <c r="BK24" s="68">
        <f t="shared" si="35"/>
        <v>23544.000000000004</v>
      </c>
      <c r="BL24" s="80">
        <v>8</v>
      </c>
    </row>
    <row r="25" spans="1:64" ht="24.95" customHeight="1" thickTop="1" thickBot="1">
      <c r="A25" s="245" t="s">
        <v>167</v>
      </c>
      <c r="B25" s="246"/>
      <c r="C25" s="246"/>
      <c r="D25" s="246"/>
      <c r="E25" s="246"/>
      <c r="F25" s="246"/>
      <c r="G25" s="246"/>
      <c r="H25" s="246"/>
      <c r="I25" s="246"/>
      <c r="J25" s="246"/>
      <c r="K25" s="246"/>
      <c r="L25" s="247"/>
      <c r="BA25" s="245" t="s">
        <v>167</v>
      </c>
      <c r="BB25" s="246"/>
      <c r="BC25" s="246"/>
      <c r="BD25" s="246"/>
      <c r="BE25" s="246"/>
      <c r="BF25" s="246"/>
      <c r="BG25" s="246"/>
      <c r="BH25" s="246"/>
      <c r="BI25" s="246"/>
      <c r="BJ25" s="246"/>
      <c r="BK25" s="246"/>
      <c r="BL25" s="247"/>
    </row>
    <row r="26" spans="1:64" ht="20.100000000000001" customHeight="1" thickTop="1">
      <c r="A26" s="262" t="s">
        <v>251</v>
      </c>
      <c r="B26" s="263"/>
      <c r="C26" s="263"/>
      <c r="D26" s="264"/>
      <c r="E26" s="262" t="s">
        <v>252</v>
      </c>
      <c r="F26" s="263"/>
      <c r="G26" s="263"/>
      <c r="H26" s="264"/>
      <c r="I26" s="262" t="s">
        <v>253</v>
      </c>
      <c r="J26" s="263"/>
      <c r="K26" s="263"/>
      <c r="L26" s="264"/>
      <c r="M26" s="292" t="s">
        <v>196</v>
      </c>
      <c r="N26" s="293"/>
      <c r="O26" s="293"/>
      <c r="P26" s="38"/>
      <c r="Q26" s="38"/>
      <c r="R26" s="38"/>
      <c r="S26" s="38"/>
      <c r="T26" s="38"/>
      <c r="U26" s="38"/>
      <c r="V26" s="292" t="s">
        <v>304</v>
      </c>
      <c r="W26" s="293"/>
      <c r="X26" s="293"/>
      <c r="BA26" s="262" t="s">
        <v>251</v>
      </c>
      <c r="BB26" s="263"/>
      <c r="BC26" s="263"/>
      <c r="BD26" s="264"/>
      <c r="BE26" s="262" t="s">
        <v>252</v>
      </c>
      <c r="BF26" s="263"/>
      <c r="BG26" s="263"/>
      <c r="BH26" s="264"/>
      <c r="BI26" s="262" t="s">
        <v>253</v>
      </c>
      <c r="BJ26" s="263"/>
      <c r="BK26" s="263"/>
      <c r="BL26" s="264"/>
    </row>
    <row r="27" spans="1:64" ht="20.100000000000001" customHeight="1">
      <c r="A27" s="248" t="s">
        <v>258</v>
      </c>
      <c r="B27" s="249"/>
      <c r="C27" s="249"/>
      <c r="D27" s="74" t="s">
        <v>338</v>
      </c>
      <c r="E27" s="248" t="s">
        <v>258</v>
      </c>
      <c r="F27" s="249"/>
      <c r="G27" s="249"/>
      <c r="H27" s="74" t="s">
        <v>338</v>
      </c>
      <c r="I27" s="248" t="s">
        <v>258</v>
      </c>
      <c r="J27" s="249"/>
      <c r="K27" s="249"/>
      <c r="L27" s="74" t="s">
        <v>338</v>
      </c>
      <c r="M27" s="289" t="s">
        <v>269</v>
      </c>
      <c r="N27" s="290"/>
      <c r="O27" s="75">
        <v>15800</v>
      </c>
      <c r="P27" s="75"/>
      <c r="Q27" s="75"/>
      <c r="R27" s="75"/>
      <c r="S27" s="75"/>
      <c r="T27" s="75"/>
      <c r="U27" s="75"/>
      <c r="V27" s="289" t="s">
        <v>269</v>
      </c>
      <c r="W27" s="290"/>
      <c r="X27" s="75">
        <v>14500</v>
      </c>
      <c r="BA27" s="248" t="s">
        <v>258</v>
      </c>
      <c r="BB27" s="249"/>
      <c r="BC27" s="249"/>
      <c r="BD27" s="74" t="s">
        <v>28</v>
      </c>
      <c r="BE27" s="248" t="s">
        <v>258</v>
      </c>
      <c r="BF27" s="249"/>
      <c r="BG27" s="249"/>
      <c r="BH27" s="74" t="s">
        <v>28</v>
      </c>
      <c r="BI27" s="248" t="s">
        <v>258</v>
      </c>
      <c r="BJ27" s="249"/>
      <c r="BK27" s="249"/>
      <c r="BL27" s="74" t="s">
        <v>28</v>
      </c>
    </row>
    <row r="28" spans="1:64" ht="20.100000000000001" customHeight="1">
      <c r="A28" s="256" t="s">
        <v>206</v>
      </c>
      <c r="B28" s="257"/>
      <c r="C28" s="257"/>
      <c r="D28" s="93">
        <v>15</v>
      </c>
      <c r="E28" s="256" t="s">
        <v>214</v>
      </c>
      <c r="F28" s="257"/>
      <c r="G28" s="257"/>
      <c r="H28" s="93">
        <v>15</v>
      </c>
      <c r="I28" s="256" t="s">
        <v>369</v>
      </c>
      <c r="J28" s="257"/>
      <c r="K28" s="257"/>
      <c r="L28" s="93">
        <v>18</v>
      </c>
      <c r="M28" s="289" t="s">
        <v>270</v>
      </c>
      <c r="N28" s="290"/>
      <c r="O28" s="75">
        <v>15800</v>
      </c>
      <c r="P28" s="75"/>
      <c r="Q28" s="75"/>
      <c r="R28" s="75"/>
      <c r="S28" s="75"/>
      <c r="T28" s="75"/>
      <c r="U28" s="75"/>
      <c r="V28" s="289" t="s">
        <v>270</v>
      </c>
      <c r="W28" s="290"/>
      <c r="X28" s="75">
        <v>14500</v>
      </c>
      <c r="BA28" s="256" t="s">
        <v>206</v>
      </c>
      <c r="BB28" s="257"/>
      <c r="BC28" s="257"/>
      <c r="BD28" s="72" t="s">
        <v>172</v>
      </c>
      <c r="BE28" s="256" t="s">
        <v>214</v>
      </c>
      <c r="BF28" s="257"/>
      <c r="BG28" s="257"/>
      <c r="BH28" s="72" t="s">
        <v>221</v>
      </c>
      <c r="BI28" s="256" t="s">
        <v>220</v>
      </c>
      <c r="BJ28" s="257"/>
      <c r="BK28" s="257"/>
      <c r="BL28" s="72" t="s">
        <v>221</v>
      </c>
    </row>
    <row r="29" spans="1:64" ht="20.100000000000001" customHeight="1">
      <c r="A29" s="256" t="s">
        <v>205</v>
      </c>
      <c r="B29" s="257"/>
      <c r="C29" s="257"/>
      <c r="D29" s="93">
        <v>40</v>
      </c>
      <c r="E29" s="256" t="s">
        <v>215</v>
      </c>
      <c r="F29" s="257"/>
      <c r="G29" s="257"/>
      <c r="H29" s="93">
        <v>50</v>
      </c>
      <c r="I29" s="256" t="s">
        <v>215</v>
      </c>
      <c r="J29" s="257"/>
      <c r="K29" s="257"/>
      <c r="L29" s="93">
        <v>70</v>
      </c>
      <c r="M29" s="289" t="s">
        <v>271</v>
      </c>
      <c r="N29" s="290"/>
      <c r="O29" s="75">
        <v>24500</v>
      </c>
      <c r="P29" s="75"/>
      <c r="Q29" s="75"/>
      <c r="R29" s="75"/>
      <c r="S29" s="75"/>
      <c r="T29" s="75"/>
      <c r="U29" s="75"/>
      <c r="V29" s="289" t="s">
        <v>271</v>
      </c>
      <c r="W29" s="290"/>
      <c r="X29" s="75">
        <v>19500</v>
      </c>
      <c r="BA29" s="256" t="s">
        <v>205</v>
      </c>
      <c r="BB29" s="257"/>
      <c r="BC29" s="257"/>
      <c r="BD29" s="72" t="s">
        <v>176</v>
      </c>
      <c r="BE29" s="256" t="s">
        <v>215</v>
      </c>
      <c r="BF29" s="257"/>
      <c r="BG29" s="257"/>
      <c r="BH29" s="72" t="s">
        <v>174</v>
      </c>
      <c r="BI29" s="256" t="s">
        <v>215</v>
      </c>
      <c r="BJ29" s="257"/>
      <c r="BK29" s="257"/>
      <c r="BL29" s="72" t="s">
        <v>177</v>
      </c>
    </row>
    <row r="30" spans="1:64" ht="20.100000000000001" customHeight="1">
      <c r="A30" s="256" t="s">
        <v>207</v>
      </c>
      <c r="B30" s="257"/>
      <c r="C30" s="257"/>
      <c r="D30" s="93">
        <v>70</v>
      </c>
      <c r="E30" s="256" t="s">
        <v>216</v>
      </c>
      <c r="F30" s="257"/>
      <c r="G30" s="257"/>
      <c r="H30" s="93">
        <v>70</v>
      </c>
      <c r="I30" s="256" t="s">
        <v>216</v>
      </c>
      <c r="J30" s="257"/>
      <c r="K30" s="257"/>
      <c r="L30" s="93">
        <v>70</v>
      </c>
      <c r="M30" s="289" t="s">
        <v>272</v>
      </c>
      <c r="N30" s="290"/>
      <c r="O30" s="75">
        <v>29000</v>
      </c>
      <c r="P30" s="75"/>
      <c r="Q30" s="75"/>
      <c r="R30" s="75"/>
      <c r="S30" s="75"/>
      <c r="T30" s="75"/>
      <c r="U30" s="75"/>
      <c r="V30" s="289" t="s">
        <v>272</v>
      </c>
      <c r="W30" s="290"/>
      <c r="X30" s="75">
        <v>25500</v>
      </c>
      <c r="BA30" s="256" t="s">
        <v>207</v>
      </c>
      <c r="BB30" s="257"/>
      <c r="BC30" s="257"/>
      <c r="BD30" s="72" t="s">
        <v>212</v>
      </c>
      <c r="BE30" s="256" t="s">
        <v>216</v>
      </c>
      <c r="BF30" s="257"/>
      <c r="BG30" s="257"/>
      <c r="BH30" s="72" t="s">
        <v>212</v>
      </c>
      <c r="BI30" s="256" t="s">
        <v>216</v>
      </c>
      <c r="BJ30" s="257"/>
      <c r="BK30" s="257"/>
      <c r="BL30" s="72" t="s">
        <v>212</v>
      </c>
    </row>
    <row r="31" spans="1:64" ht="20.100000000000001" customHeight="1">
      <c r="A31" s="256" t="s">
        <v>208</v>
      </c>
      <c r="B31" s="257"/>
      <c r="C31" s="257"/>
      <c r="D31" s="93">
        <v>20</v>
      </c>
      <c r="E31" s="256" t="s">
        <v>208</v>
      </c>
      <c r="F31" s="257"/>
      <c r="G31" s="257"/>
      <c r="H31" s="93">
        <v>20</v>
      </c>
      <c r="I31" s="256" t="s">
        <v>208</v>
      </c>
      <c r="J31" s="257"/>
      <c r="K31" s="257"/>
      <c r="L31" s="93">
        <v>20</v>
      </c>
      <c r="M31" s="289" t="s">
        <v>273</v>
      </c>
      <c r="N31" s="290"/>
      <c r="O31" s="75">
        <v>30000</v>
      </c>
      <c r="P31" s="75"/>
      <c r="Q31" s="75"/>
      <c r="R31" s="75"/>
      <c r="S31" s="75"/>
      <c r="T31" s="75"/>
      <c r="U31" s="75"/>
      <c r="V31" s="289" t="s">
        <v>273</v>
      </c>
      <c r="W31" s="290"/>
      <c r="X31" s="75">
        <v>26000</v>
      </c>
      <c r="BA31" s="256" t="s">
        <v>208</v>
      </c>
      <c r="BB31" s="257"/>
      <c r="BC31" s="257"/>
      <c r="BD31" s="72" t="s">
        <v>175</v>
      </c>
      <c r="BE31" s="256" t="s">
        <v>208</v>
      </c>
      <c r="BF31" s="257"/>
      <c r="BG31" s="257"/>
      <c r="BH31" s="72" t="s">
        <v>175</v>
      </c>
      <c r="BI31" s="256" t="s">
        <v>208</v>
      </c>
      <c r="BJ31" s="257"/>
      <c r="BK31" s="257"/>
      <c r="BL31" s="72" t="s">
        <v>175</v>
      </c>
    </row>
    <row r="32" spans="1:64" ht="20.100000000000001" customHeight="1">
      <c r="A32" s="256" t="s">
        <v>339</v>
      </c>
      <c r="B32" s="257"/>
      <c r="C32" s="257"/>
      <c r="D32" s="93">
        <v>20</v>
      </c>
      <c r="E32" s="256" t="s">
        <v>342</v>
      </c>
      <c r="F32" s="257"/>
      <c r="G32" s="257"/>
      <c r="H32" s="93">
        <v>25</v>
      </c>
      <c r="I32" s="256" t="s">
        <v>342</v>
      </c>
      <c r="J32" s="257"/>
      <c r="K32" s="257"/>
      <c r="L32" s="93">
        <v>30</v>
      </c>
      <c r="M32" s="289" t="s">
        <v>274</v>
      </c>
      <c r="N32" s="290"/>
      <c r="O32" s="75"/>
      <c r="P32" s="75"/>
      <c r="Q32" s="75"/>
      <c r="R32" s="75"/>
      <c r="S32" s="75"/>
      <c r="T32" s="75"/>
      <c r="U32" s="75"/>
      <c r="V32" s="289" t="s">
        <v>274</v>
      </c>
      <c r="W32" s="290"/>
      <c r="X32" s="75"/>
      <c r="BA32" s="256" t="s">
        <v>209</v>
      </c>
      <c r="BB32" s="257"/>
      <c r="BC32" s="257"/>
      <c r="BD32" s="72" t="s">
        <v>213</v>
      </c>
      <c r="BE32" s="256" t="s">
        <v>217</v>
      </c>
      <c r="BF32" s="257"/>
      <c r="BG32" s="257"/>
      <c r="BH32" s="72" t="s">
        <v>179</v>
      </c>
      <c r="BI32" s="256" t="s">
        <v>217</v>
      </c>
      <c r="BJ32" s="257"/>
      <c r="BK32" s="257"/>
      <c r="BL32" s="72" t="s">
        <v>179</v>
      </c>
    </row>
    <row r="33" spans="1:64" ht="20.100000000000001" customHeight="1">
      <c r="A33" s="256" t="s">
        <v>340</v>
      </c>
      <c r="B33" s="257"/>
      <c r="C33" s="257"/>
      <c r="D33" s="93">
        <v>15</v>
      </c>
      <c r="E33" s="256" t="s">
        <v>343</v>
      </c>
      <c r="F33" s="257"/>
      <c r="G33" s="257"/>
      <c r="H33" s="93">
        <v>20</v>
      </c>
      <c r="I33" s="256" t="s">
        <v>343</v>
      </c>
      <c r="J33" s="257"/>
      <c r="K33" s="257"/>
      <c r="L33" s="93">
        <v>20</v>
      </c>
      <c r="M33" s="289" t="s">
        <v>275</v>
      </c>
      <c r="N33" s="290"/>
      <c r="O33" s="75">
        <v>47000</v>
      </c>
      <c r="P33" s="75"/>
      <c r="Q33" s="75"/>
      <c r="R33" s="75"/>
      <c r="S33" s="75"/>
      <c r="T33" s="75"/>
      <c r="U33" s="75"/>
      <c r="V33" s="289" t="s">
        <v>275</v>
      </c>
      <c r="W33" s="290"/>
      <c r="X33" s="75"/>
      <c r="BA33" s="256" t="s">
        <v>210</v>
      </c>
      <c r="BB33" s="257"/>
      <c r="BC33" s="257"/>
      <c r="BD33" s="72" t="s">
        <v>213</v>
      </c>
      <c r="BE33" s="256" t="s">
        <v>218</v>
      </c>
      <c r="BF33" s="257"/>
      <c r="BG33" s="257"/>
      <c r="BH33" s="72" t="s">
        <v>179</v>
      </c>
      <c r="BI33" s="256" t="s">
        <v>218</v>
      </c>
      <c r="BJ33" s="257"/>
      <c r="BK33" s="257"/>
      <c r="BL33" s="72" t="s">
        <v>179</v>
      </c>
    </row>
    <row r="34" spans="1:64" ht="20.100000000000001" customHeight="1" thickBot="1">
      <c r="A34" s="258" t="s">
        <v>341</v>
      </c>
      <c r="B34" s="259"/>
      <c r="C34" s="259"/>
      <c r="D34" s="94">
        <v>5</v>
      </c>
      <c r="E34" s="258" t="s">
        <v>344</v>
      </c>
      <c r="F34" s="259"/>
      <c r="G34" s="259"/>
      <c r="H34" s="94">
        <v>7</v>
      </c>
      <c r="I34" s="258" t="s">
        <v>344</v>
      </c>
      <c r="J34" s="259"/>
      <c r="K34" s="259"/>
      <c r="L34" s="94">
        <v>7</v>
      </c>
      <c r="M34" s="289" t="s">
        <v>276</v>
      </c>
      <c r="N34" s="290"/>
      <c r="O34" s="75">
        <v>51500</v>
      </c>
      <c r="P34" s="75"/>
      <c r="Q34" s="75"/>
      <c r="R34" s="75"/>
      <c r="S34" s="75"/>
      <c r="T34" s="75"/>
      <c r="U34" s="75"/>
      <c r="V34" s="289" t="s">
        <v>276</v>
      </c>
      <c r="W34" s="290"/>
      <c r="X34" s="75"/>
      <c r="BA34" s="258" t="s">
        <v>211</v>
      </c>
      <c r="BB34" s="259"/>
      <c r="BC34" s="259"/>
      <c r="BD34" s="73" t="s">
        <v>182</v>
      </c>
      <c r="BE34" s="258" t="s">
        <v>219</v>
      </c>
      <c r="BF34" s="259"/>
      <c r="BG34" s="259"/>
      <c r="BH34" s="73" t="s">
        <v>222</v>
      </c>
      <c r="BI34" s="258" t="s">
        <v>219</v>
      </c>
      <c r="BJ34" s="259"/>
      <c r="BK34" s="259"/>
      <c r="BL34" s="73" t="s">
        <v>222</v>
      </c>
    </row>
    <row r="35" spans="1:64" ht="24.95" customHeight="1" thickTop="1" thickBot="1">
      <c r="A35" s="253" t="s">
        <v>55</v>
      </c>
      <c r="B35" s="254"/>
      <c r="C35" s="254"/>
      <c r="D35" s="255"/>
      <c r="E35" s="253" t="s">
        <v>56</v>
      </c>
      <c r="F35" s="254"/>
      <c r="G35" s="255"/>
      <c r="H35" s="253" t="s">
        <v>236</v>
      </c>
      <c r="I35" s="254"/>
      <c r="J35" s="254"/>
      <c r="K35" s="254"/>
      <c r="L35" s="255"/>
      <c r="M35" s="291" t="s">
        <v>277</v>
      </c>
      <c r="N35" s="290"/>
      <c r="O35" s="75">
        <v>53500</v>
      </c>
      <c r="P35" s="75"/>
      <c r="Q35" s="75"/>
      <c r="R35" s="75"/>
      <c r="S35" s="75"/>
      <c r="T35" s="75"/>
      <c r="U35" s="75"/>
      <c r="V35" s="291" t="s">
        <v>277</v>
      </c>
      <c r="W35" s="290"/>
      <c r="X35" s="75"/>
      <c r="BA35" s="253" t="s">
        <v>55</v>
      </c>
      <c r="BB35" s="254"/>
      <c r="BC35" s="254"/>
      <c r="BD35" s="255"/>
      <c r="BE35" s="253" t="s">
        <v>56</v>
      </c>
      <c r="BF35" s="254"/>
      <c r="BG35" s="255"/>
      <c r="BH35" s="253" t="s">
        <v>236</v>
      </c>
      <c r="BI35" s="254"/>
      <c r="BJ35" s="254"/>
      <c r="BK35" s="254"/>
      <c r="BL35" s="255"/>
    </row>
    <row r="36" spans="1:64" ht="15.75" customHeight="1" thickTop="1">
      <c r="A36" s="271" t="s">
        <v>227</v>
      </c>
      <c r="B36" s="272"/>
      <c r="C36" s="272" t="s">
        <v>63</v>
      </c>
      <c r="D36" s="273"/>
      <c r="E36" s="53">
        <v>1</v>
      </c>
      <c r="F36" s="260" t="s">
        <v>233</v>
      </c>
      <c r="G36" s="261"/>
      <c r="H36" s="268" t="s">
        <v>237</v>
      </c>
      <c r="I36" s="269"/>
      <c r="J36" s="269" t="s">
        <v>312</v>
      </c>
      <c r="K36" s="269"/>
      <c r="L36" s="270"/>
      <c r="BA36" s="271" t="s">
        <v>227</v>
      </c>
      <c r="BB36" s="272"/>
      <c r="BC36" s="272" t="s">
        <v>63</v>
      </c>
      <c r="BD36" s="273"/>
      <c r="BE36" s="53">
        <v>1</v>
      </c>
      <c r="BF36" s="260" t="s">
        <v>233</v>
      </c>
      <c r="BG36" s="261"/>
      <c r="BH36" s="268" t="s">
        <v>237</v>
      </c>
      <c r="BI36" s="269"/>
      <c r="BJ36" s="269" t="s">
        <v>241</v>
      </c>
      <c r="BK36" s="269"/>
      <c r="BL36" s="270"/>
    </row>
    <row r="37" spans="1:64" ht="15.75">
      <c r="A37" s="271" t="s">
        <v>228</v>
      </c>
      <c r="B37" s="272"/>
      <c r="C37" s="272" t="s">
        <v>64</v>
      </c>
      <c r="D37" s="273"/>
      <c r="E37" s="53">
        <v>2</v>
      </c>
      <c r="F37" s="260" t="s">
        <v>192</v>
      </c>
      <c r="G37" s="261"/>
      <c r="H37" s="268" t="s">
        <v>238</v>
      </c>
      <c r="I37" s="269"/>
      <c r="J37" s="269" t="s">
        <v>196</v>
      </c>
      <c r="K37" s="269"/>
      <c r="L37" s="270"/>
      <c r="BA37" s="271" t="s">
        <v>228</v>
      </c>
      <c r="BB37" s="272"/>
      <c r="BC37" s="272" t="s">
        <v>64</v>
      </c>
      <c r="BD37" s="273"/>
      <c r="BE37" s="53">
        <v>2</v>
      </c>
      <c r="BF37" s="260" t="s">
        <v>192</v>
      </c>
      <c r="BG37" s="261"/>
      <c r="BH37" s="268" t="s">
        <v>238</v>
      </c>
      <c r="BI37" s="269"/>
      <c r="BJ37" s="269" t="s">
        <v>196</v>
      </c>
      <c r="BK37" s="269"/>
      <c r="BL37" s="270"/>
    </row>
    <row r="38" spans="1:64" ht="15.75">
      <c r="A38" s="271" t="s">
        <v>229</v>
      </c>
      <c r="B38" s="272"/>
      <c r="C38" s="275" t="s">
        <v>66</v>
      </c>
      <c r="D38" s="276"/>
      <c r="E38" s="53">
        <v>3</v>
      </c>
      <c r="F38" s="260" t="s">
        <v>234</v>
      </c>
      <c r="G38" s="261"/>
      <c r="H38" s="268" t="s">
        <v>239</v>
      </c>
      <c r="I38" s="269"/>
      <c r="J38" s="269" t="s">
        <v>242</v>
      </c>
      <c r="K38" s="269"/>
      <c r="L38" s="270"/>
      <c r="BA38" s="271" t="s">
        <v>229</v>
      </c>
      <c r="BB38" s="272"/>
      <c r="BC38" s="275" t="s">
        <v>66</v>
      </c>
      <c r="BD38" s="276"/>
      <c r="BE38" s="53">
        <v>3</v>
      </c>
      <c r="BF38" s="260" t="s">
        <v>234</v>
      </c>
      <c r="BG38" s="261"/>
      <c r="BH38" s="268" t="s">
        <v>239</v>
      </c>
      <c r="BI38" s="269"/>
      <c r="BJ38" s="269" t="s">
        <v>242</v>
      </c>
      <c r="BK38" s="269"/>
      <c r="BL38" s="270"/>
    </row>
    <row r="39" spans="1:64" ht="15.75">
      <c r="A39" s="271" t="s">
        <v>232</v>
      </c>
      <c r="B39" s="272"/>
      <c r="C39" s="275" t="s">
        <v>65</v>
      </c>
      <c r="D39" s="276"/>
      <c r="E39" s="53">
        <v>4</v>
      </c>
      <c r="F39" s="260" t="s">
        <v>235</v>
      </c>
      <c r="G39" s="261"/>
      <c r="H39" s="268" t="s">
        <v>240</v>
      </c>
      <c r="I39" s="269"/>
      <c r="J39" s="269" t="s">
        <v>309</v>
      </c>
      <c r="K39" s="269"/>
      <c r="L39" s="270"/>
      <c r="BA39" s="271" t="s">
        <v>232</v>
      </c>
      <c r="BB39" s="272"/>
      <c r="BC39" s="275" t="s">
        <v>65</v>
      </c>
      <c r="BD39" s="276"/>
      <c r="BE39" s="53">
        <v>4</v>
      </c>
      <c r="BF39" s="260" t="s">
        <v>235</v>
      </c>
      <c r="BG39" s="261"/>
      <c r="BH39" s="268" t="s">
        <v>240</v>
      </c>
      <c r="BI39" s="269"/>
      <c r="BJ39" s="269" t="s">
        <v>243</v>
      </c>
      <c r="BK39" s="269"/>
      <c r="BL39" s="270"/>
    </row>
    <row r="40" spans="1:64" ht="15" customHeight="1">
      <c r="A40" s="271" t="s">
        <v>230</v>
      </c>
      <c r="B40" s="272"/>
      <c r="C40" s="272" t="s">
        <v>67</v>
      </c>
      <c r="D40" s="273"/>
      <c r="E40" s="58"/>
      <c r="F40" s="260"/>
      <c r="G40" s="261"/>
      <c r="H40" s="268" t="s">
        <v>36</v>
      </c>
      <c r="I40" s="269"/>
      <c r="J40" s="269" t="s">
        <v>300</v>
      </c>
      <c r="K40" s="269"/>
      <c r="L40" s="270"/>
      <c r="BA40" s="271" t="s">
        <v>230</v>
      </c>
      <c r="BB40" s="272"/>
      <c r="BC40" s="272" t="s">
        <v>67</v>
      </c>
      <c r="BD40" s="273"/>
      <c r="BE40" s="58"/>
      <c r="BF40" s="260"/>
      <c r="BG40" s="261"/>
      <c r="BH40" s="268" t="s">
        <v>36</v>
      </c>
      <c r="BI40" s="269"/>
      <c r="BJ40" s="269" t="s">
        <v>244</v>
      </c>
      <c r="BK40" s="269"/>
      <c r="BL40" s="270"/>
    </row>
    <row r="41" spans="1:64" ht="16.5" thickBot="1">
      <c r="A41" s="271" t="s">
        <v>231</v>
      </c>
      <c r="B41" s="272"/>
      <c r="C41" s="272" t="s">
        <v>68</v>
      </c>
      <c r="D41" s="273"/>
      <c r="E41" s="58"/>
      <c r="F41" s="260"/>
      <c r="G41" s="261"/>
      <c r="H41" s="268" t="s">
        <v>245</v>
      </c>
      <c r="I41" s="269"/>
      <c r="J41" s="269" t="s">
        <v>301</v>
      </c>
      <c r="K41" s="269"/>
      <c r="L41" s="270"/>
      <c r="BA41" s="271" t="s">
        <v>231</v>
      </c>
      <c r="BB41" s="272"/>
      <c r="BC41" s="272" t="s">
        <v>68</v>
      </c>
      <c r="BD41" s="273"/>
      <c r="BE41" s="58"/>
      <c r="BF41" s="260"/>
      <c r="BG41" s="261"/>
      <c r="BH41" s="268" t="s">
        <v>245</v>
      </c>
      <c r="BI41" s="269"/>
      <c r="BJ41" s="269" t="s">
        <v>246</v>
      </c>
      <c r="BK41" s="269"/>
      <c r="BL41" s="270"/>
    </row>
    <row r="42" spans="1:64" ht="24.95" customHeight="1" thickTop="1" thickBot="1">
      <c r="A42" s="245" t="s">
        <v>74</v>
      </c>
      <c r="B42" s="246"/>
      <c r="C42" s="246"/>
      <c r="D42" s="246"/>
      <c r="E42" s="246"/>
      <c r="F42" s="246"/>
      <c r="G42" s="246"/>
      <c r="H42" s="246"/>
      <c r="I42" s="246"/>
      <c r="J42" s="246"/>
      <c r="K42" s="246"/>
      <c r="L42" s="247"/>
      <c r="BA42" s="245" t="s">
        <v>74</v>
      </c>
      <c r="BB42" s="246"/>
      <c r="BC42" s="246"/>
      <c r="BD42" s="246"/>
      <c r="BE42" s="246"/>
      <c r="BF42" s="246"/>
      <c r="BG42" s="246"/>
      <c r="BH42" s="246"/>
      <c r="BI42" s="246"/>
      <c r="BJ42" s="246"/>
      <c r="BK42" s="246"/>
      <c r="BL42" s="247"/>
    </row>
    <row r="43" spans="1:64" ht="15.75" customHeight="1" thickTop="1">
      <c r="A43" s="222">
        <v>1</v>
      </c>
      <c r="B43" s="267" t="s">
        <v>265</v>
      </c>
      <c r="C43" s="267"/>
      <c r="D43" s="267"/>
      <c r="E43" s="267"/>
      <c r="F43" s="267"/>
      <c r="G43" s="267"/>
      <c r="H43" s="267"/>
      <c r="I43" s="267"/>
      <c r="J43" s="267"/>
      <c r="K43" s="267"/>
      <c r="L43" s="267"/>
      <c r="BA43" s="222">
        <v>1</v>
      </c>
      <c r="BB43" s="267" t="s">
        <v>265</v>
      </c>
      <c r="BC43" s="267"/>
      <c r="BD43" s="267"/>
      <c r="BE43" s="267"/>
      <c r="BF43" s="267"/>
      <c r="BG43" s="267"/>
      <c r="BH43" s="267"/>
      <c r="BI43" s="267"/>
      <c r="BJ43" s="267"/>
      <c r="BK43" s="267"/>
      <c r="BL43" s="267"/>
    </row>
    <row r="44" spans="1:64" ht="15" customHeight="1">
      <c r="A44" s="222"/>
      <c r="B44" s="267"/>
      <c r="C44" s="267"/>
      <c r="D44" s="267"/>
      <c r="E44" s="267"/>
      <c r="F44" s="267"/>
      <c r="G44" s="267"/>
      <c r="H44" s="267"/>
      <c r="I44" s="267"/>
      <c r="J44" s="267"/>
      <c r="K44" s="267"/>
      <c r="L44" s="267"/>
      <c r="BA44" s="222"/>
      <c r="BB44" s="267"/>
      <c r="BC44" s="267"/>
      <c r="BD44" s="267"/>
      <c r="BE44" s="267"/>
      <c r="BF44" s="267"/>
      <c r="BG44" s="267"/>
      <c r="BH44" s="267"/>
      <c r="BI44" s="267"/>
      <c r="BJ44" s="267"/>
      <c r="BK44" s="267"/>
      <c r="BL44" s="267"/>
    </row>
    <row r="45" spans="1:64">
      <c r="A45" s="33">
        <v>2</v>
      </c>
      <c r="B45" s="260" t="s">
        <v>263</v>
      </c>
      <c r="C45" s="260"/>
      <c r="D45" s="260"/>
      <c r="E45" s="260"/>
      <c r="F45" s="260"/>
      <c r="G45" s="260"/>
      <c r="H45" s="260"/>
      <c r="I45" s="260"/>
      <c r="J45" s="260"/>
      <c r="K45" s="260"/>
      <c r="L45" s="260"/>
      <c r="BA45" s="33">
        <v>2</v>
      </c>
      <c r="BB45" s="260" t="s">
        <v>263</v>
      </c>
      <c r="BC45" s="260"/>
      <c r="BD45" s="260"/>
      <c r="BE45" s="260"/>
      <c r="BF45" s="260"/>
      <c r="BG45" s="260"/>
      <c r="BH45" s="260"/>
      <c r="BI45" s="260"/>
      <c r="BJ45" s="260"/>
      <c r="BK45" s="260"/>
      <c r="BL45" s="260"/>
    </row>
    <row r="46" spans="1:64">
      <c r="A46" s="33">
        <v>3</v>
      </c>
      <c r="B46" s="260" t="s">
        <v>163</v>
      </c>
      <c r="C46" s="260"/>
      <c r="D46" s="260"/>
      <c r="E46" s="260"/>
      <c r="F46" s="260"/>
      <c r="G46" s="260"/>
      <c r="H46" s="260"/>
      <c r="I46" s="260"/>
      <c r="J46" s="260"/>
      <c r="K46" s="260"/>
      <c r="L46" s="260"/>
      <c r="BA46" s="33">
        <v>3</v>
      </c>
      <c r="BB46" s="260" t="s">
        <v>163</v>
      </c>
      <c r="BC46" s="260"/>
      <c r="BD46" s="260"/>
      <c r="BE46" s="260"/>
      <c r="BF46" s="260"/>
      <c r="BG46" s="260"/>
      <c r="BH46" s="260"/>
      <c r="BI46" s="260"/>
      <c r="BJ46" s="260"/>
      <c r="BK46" s="260"/>
      <c r="BL46" s="260"/>
    </row>
    <row r="47" spans="1:64">
      <c r="A47" s="54">
        <v>4</v>
      </c>
      <c r="B47" s="260" t="s">
        <v>76</v>
      </c>
      <c r="C47" s="260"/>
      <c r="D47" s="260"/>
      <c r="E47" s="260"/>
      <c r="F47" s="260"/>
      <c r="G47" s="260"/>
      <c r="H47" s="260"/>
      <c r="I47" s="260"/>
      <c r="J47" s="260"/>
      <c r="K47" s="260"/>
      <c r="L47" s="260"/>
      <c r="BA47" s="54">
        <v>4</v>
      </c>
      <c r="BB47" s="260" t="s">
        <v>76</v>
      </c>
      <c r="BC47" s="260"/>
      <c r="BD47" s="260"/>
      <c r="BE47" s="260"/>
      <c r="BF47" s="260"/>
      <c r="BG47" s="260"/>
      <c r="BH47" s="260"/>
      <c r="BI47" s="260"/>
      <c r="BJ47" s="260"/>
      <c r="BK47" s="260"/>
      <c r="BL47" s="260"/>
    </row>
    <row r="48" spans="1:64" ht="15" customHeight="1">
      <c r="A48" s="274">
        <v>5</v>
      </c>
      <c r="B48" s="267" t="s">
        <v>247</v>
      </c>
      <c r="C48" s="267"/>
      <c r="D48" s="267"/>
      <c r="E48" s="267"/>
      <c r="F48" s="267"/>
      <c r="G48" s="267"/>
      <c r="H48" s="267"/>
      <c r="I48" s="267"/>
      <c r="J48" s="267"/>
      <c r="K48" s="267"/>
      <c r="L48" s="267"/>
      <c r="BA48" s="274">
        <v>5</v>
      </c>
      <c r="BB48" s="267" t="s">
        <v>247</v>
      </c>
      <c r="BC48" s="267"/>
      <c r="BD48" s="267"/>
      <c r="BE48" s="267"/>
      <c r="BF48" s="267"/>
      <c r="BG48" s="267"/>
      <c r="BH48" s="267"/>
      <c r="BI48" s="267"/>
      <c r="BJ48" s="267"/>
      <c r="BK48" s="267"/>
      <c r="BL48" s="267"/>
    </row>
    <row r="49" spans="1:64">
      <c r="A49" s="274"/>
      <c r="B49" s="267"/>
      <c r="C49" s="267"/>
      <c r="D49" s="267"/>
      <c r="E49" s="267"/>
      <c r="F49" s="267"/>
      <c r="G49" s="267"/>
      <c r="H49" s="267"/>
      <c r="I49" s="267"/>
      <c r="J49" s="267"/>
      <c r="K49" s="267"/>
      <c r="L49" s="267"/>
      <c r="BA49" s="274"/>
      <c r="BB49" s="267"/>
      <c r="BC49" s="267"/>
      <c r="BD49" s="267"/>
      <c r="BE49" s="267"/>
      <c r="BF49" s="267"/>
      <c r="BG49" s="267"/>
      <c r="BH49" s="267"/>
      <c r="BI49" s="267"/>
      <c r="BJ49" s="267"/>
      <c r="BK49" s="267"/>
      <c r="BL49" s="267"/>
    </row>
    <row r="50" spans="1:64" ht="15.75" customHeight="1">
      <c r="A50" s="274"/>
      <c r="B50" s="267"/>
      <c r="C50" s="267"/>
      <c r="D50" s="267"/>
      <c r="E50" s="267"/>
      <c r="F50" s="267"/>
      <c r="G50" s="267"/>
      <c r="H50" s="267"/>
      <c r="I50" s="267"/>
      <c r="J50" s="267"/>
      <c r="K50" s="267"/>
      <c r="L50" s="267"/>
      <c r="BA50" s="274"/>
      <c r="BB50" s="267"/>
      <c r="BC50" s="267"/>
      <c r="BD50" s="267"/>
      <c r="BE50" s="267"/>
      <c r="BF50" s="267"/>
      <c r="BG50" s="267"/>
      <c r="BH50" s="267"/>
      <c r="BI50" s="267"/>
      <c r="BJ50" s="267"/>
      <c r="BK50" s="267"/>
      <c r="BL50" s="267"/>
    </row>
    <row r="51" spans="1:64" ht="15.75" customHeight="1">
      <c r="A51" s="274">
        <v>6</v>
      </c>
      <c r="B51" s="267" t="s">
        <v>77</v>
      </c>
      <c r="C51" s="267"/>
      <c r="D51" s="267"/>
      <c r="E51" s="267"/>
      <c r="F51" s="267"/>
      <c r="G51" s="267"/>
      <c r="H51" s="267"/>
      <c r="I51" s="267"/>
      <c r="J51" s="267"/>
      <c r="K51" s="267"/>
      <c r="L51" s="267"/>
      <c r="BA51" s="274">
        <v>6</v>
      </c>
      <c r="BB51" s="267" t="s">
        <v>77</v>
      </c>
      <c r="BC51" s="267"/>
      <c r="BD51" s="267"/>
      <c r="BE51" s="267"/>
      <c r="BF51" s="267"/>
      <c r="BG51" s="267"/>
      <c r="BH51" s="267"/>
      <c r="BI51" s="267"/>
      <c r="BJ51" s="267"/>
      <c r="BK51" s="267"/>
      <c r="BL51" s="267"/>
    </row>
    <row r="52" spans="1:64" ht="15.75" customHeight="1">
      <c r="A52" s="274"/>
      <c r="B52" s="267"/>
      <c r="C52" s="267"/>
      <c r="D52" s="267"/>
      <c r="E52" s="267"/>
      <c r="F52" s="267"/>
      <c r="G52" s="267"/>
      <c r="H52" s="267"/>
      <c r="I52" s="267"/>
      <c r="J52" s="267"/>
      <c r="K52" s="267"/>
      <c r="L52" s="267"/>
      <c r="BA52" s="274"/>
      <c r="BB52" s="267"/>
      <c r="BC52" s="267"/>
      <c r="BD52" s="267"/>
      <c r="BE52" s="267"/>
      <c r="BF52" s="267"/>
      <c r="BG52" s="267"/>
      <c r="BH52" s="267"/>
      <c r="BI52" s="267"/>
      <c r="BJ52" s="267"/>
      <c r="BK52" s="267"/>
      <c r="BL52" s="267"/>
    </row>
    <row r="53" spans="1:64" ht="15.75" customHeight="1">
      <c r="A53" s="251">
        <v>7</v>
      </c>
      <c r="B53" s="252" t="s">
        <v>248</v>
      </c>
      <c r="C53" s="252"/>
      <c r="D53" s="252"/>
      <c r="E53" s="252"/>
      <c r="F53" s="252"/>
      <c r="G53" s="252"/>
      <c r="H53" s="252"/>
      <c r="I53" s="252"/>
      <c r="J53" s="252"/>
      <c r="K53" s="252"/>
      <c r="L53" s="252"/>
      <c r="BA53" s="251">
        <v>7</v>
      </c>
      <c r="BB53" s="252" t="s">
        <v>248</v>
      </c>
      <c r="BC53" s="252"/>
      <c r="BD53" s="252"/>
      <c r="BE53" s="252"/>
      <c r="BF53" s="252"/>
      <c r="BG53" s="252"/>
      <c r="BH53" s="252"/>
      <c r="BI53" s="252"/>
      <c r="BJ53" s="252"/>
      <c r="BK53" s="252"/>
      <c r="BL53" s="252"/>
    </row>
    <row r="54" spans="1:64" ht="15.75" customHeight="1">
      <c r="A54" s="251"/>
      <c r="B54" s="252"/>
      <c r="C54" s="252"/>
      <c r="D54" s="252"/>
      <c r="E54" s="252"/>
      <c r="F54" s="252"/>
      <c r="G54" s="252"/>
      <c r="H54" s="252"/>
      <c r="I54" s="252"/>
      <c r="J54" s="252"/>
      <c r="K54" s="252"/>
      <c r="L54" s="252"/>
      <c r="BA54" s="251"/>
      <c r="BB54" s="252"/>
      <c r="BC54" s="252"/>
      <c r="BD54" s="252"/>
      <c r="BE54" s="252"/>
      <c r="BF54" s="252"/>
      <c r="BG54" s="252"/>
      <c r="BH54" s="252"/>
      <c r="BI54" s="252"/>
      <c r="BJ54" s="252"/>
      <c r="BK54" s="252"/>
      <c r="BL54" s="252"/>
    </row>
    <row r="55" spans="1:64" ht="15.75" customHeight="1">
      <c r="A55" s="251">
        <v>8</v>
      </c>
      <c r="B55" s="250" t="s">
        <v>249</v>
      </c>
      <c r="C55" s="250"/>
      <c r="D55" s="250"/>
      <c r="E55" s="250"/>
      <c r="F55" s="250"/>
      <c r="G55" s="250"/>
      <c r="H55" s="250"/>
      <c r="I55" s="250"/>
      <c r="J55" s="250"/>
      <c r="K55" s="250"/>
      <c r="L55" s="250"/>
      <c r="BA55" s="251">
        <v>8</v>
      </c>
      <c r="BB55" s="250" t="s">
        <v>249</v>
      </c>
      <c r="BC55" s="250"/>
      <c r="BD55" s="250"/>
      <c r="BE55" s="250"/>
      <c r="BF55" s="250"/>
      <c r="BG55" s="250"/>
      <c r="BH55" s="250"/>
      <c r="BI55" s="250"/>
      <c r="BJ55" s="250"/>
      <c r="BK55" s="250"/>
      <c r="BL55" s="250"/>
    </row>
    <row r="56" spans="1:64" ht="15" customHeight="1">
      <c r="A56" s="251"/>
      <c r="B56" s="250"/>
      <c r="C56" s="250"/>
      <c r="D56" s="250"/>
      <c r="E56" s="250"/>
      <c r="F56" s="250"/>
      <c r="G56" s="250"/>
      <c r="H56" s="250"/>
      <c r="I56" s="250"/>
      <c r="J56" s="250"/>
      <c r="K56" s="250"/>
      <c r="L56" s="250"/>
      <c r="BA56" s="251"/>
      <c r="BB56" s="250"/>
      <c r="BC56" s="250"/>
      <c r="BD56" s="250"/>
      <c r="BE56" s="250"/>
      <c r="BF56" s="250"/>
      <c r="BG56" s="250"/>
      <c r="BH56" s="250"/>
      <c r="BI56" s="250"/>
      <c r="BJ56" s="250"/>
      <c r="BK56" s="250"/>
      <c r="BL56" s="250"/>
    </row>
    <row r="57" spans="1:64" ht="15" customHeight="1">
      <c r="A57" s="251"/>
      <c r="B57" s="250"/>
      <c r="C57" s="250"/>
      <c r="D57" s="250"/>
      <c r="E57" s="250"/>
      <c r="F57" s="250"/>
      <c r="G57" s="250"/>
      <c r="H57" s="250"/>
      <c r="I57" s="250"/>
      <c r="J57" s="250"/>
      <c r="K57" s="250"/>
      <c r="L57" s="250"/>
      <c r="BA57" s="251"/>
      <c r="BB57" s="250"/>
      <c r="BC57" s="250"/>
      <c r="BD57" s="250"/>
      <c r="BE57" s="250"/>
      <c r="BF57" s="250"/>
      <c r="BG57" s="250"/>
      <c r="BH57" s="250"/>
      <c r="BI57" s="250"/>
      <c r="BJ57" s="250"/>
      <c r="BK57" s="250"/>
      <c r="BL57" s="250"/>
    </row>
    <row r="58" spans="1:64" ht="15" customHeight="1">
      <c r="A58" s="251">
        <v>9</v>
      </c>
      <c r="B58" s="250" t="s">
        <v>250</v>
      </c>
      <c r="C58" s="250"/>
      <c r="D58" s="250"/>
      <c r="E58" s="250"/>
      <c r="F58" s="250"/>
      <c r="G58" s="250"/>
      <c r="H58" s="250"/>
      <c r="I58" s="250"/>
      <c r="J58" s="250"/>
      <c r="K58" s="250"/>
      <c r="L58" s="250"/>
      <c r="BA58" s="251">
        <v>9</v>
      </c>
      <c r="BB58" s="250" t="s">
        <v>250</v>
      </c>
      <c r="BC58" s="250"/>
      <c r="BD58" s="250"/>
      <c r="BE58" s="250"/>
      <c r="BF58" s="250"/>
      <c r="BG58" s="250"/>
      <c r="BH58" s="250"/>
      <c r="BI58" s="250"/>
      <c r="BJ58" s="250"/>
      <c r="BK58" s="250"/>
      <c r="BL58" s="250"/>
    </row>
    <row r="59" spans="1:64" ht="15" customHeight="1">
      <c r="A59" s="251"/>
      <c r="B59" s="250"/>
      <c r="C59" s="250"/>
      <c r="D59" s="250"/>
      <c r="E59" s="250"/>
      <c r="F59" s="250"/>
      <c r="G59" s="250"/>
      <c r="H59" s="250"/>
      <c r="I59" s="250"/>
      <c r="J59" s="250"/>
      <c r="K59" s="250"/>
      <c r="L59" s="250"/>
      <c r="BA59" s="251"/>
      <c r="BB59" s="250"/>
      <c r="BC59" s="250"/>
      <c r="BD59" s="250"/>
      <c r="BE59" s="250"/>
      <c r="BF59" s="250"/>
      <c r="BG59" s="250"/>
      <c r="BH59" s="250"/>
      <c r="BI59" s="250"/>
      <c r="BJ59" s="250"/>
      <c r="BK59" s="250"/>
      <c r="BL59" s="250"/>
    </row>
    <row r="60" spans="1:64" ht="15" customHeight="1">
      <c r="A60" s="222">
        <v>10</v>
      </c>
      <c r="B60" s="267" t="s">
        <v>247</v>
      </c>
      <c r="C60" s="260"/>
      <c r="D60" s="260"/>
      <c r="E60" s="260"/>
      <c r="F60" s="260"/>
      <c r="G60" s="260"/>
      <c r="H60" s="260"/>
      <c r="I60" s="260"/>
      <c r="J60" s="260"/>
      <c r="K60" s="260"/>
      <c r="L60" s="260"/>
      <c r="BA60" s="222">
        <v>10</v>
      </c>
      <c r="BB60" s="267" t="s">
        <v>247</v>
      </c>
      <c r="BC60" s="260"/>
      <c r="BD60" s="260"/>
      <c r="BE60" s="260"/>
      <c r="BF60" s="260"/>
      <c r="BG60" s="260"/>
      <c r="BH60" s="260"/>
      <c r="BI60" s="260"/>
      <c r="BJ60" s="260"/>
      <c r="BK60" s="260"/>
      <c r="BL60" s="260"/>
    </row>
    <row r="61" spans="1:64" ht="15" customHeight="1">
      <c r="A61" s="222"/>
      <c r="B61" s="260"/>
      <c r="C61" s="260"/>
      <c r="D61" s="260"/>
      <c r="E61" s="260"/>
      <c r="F61" s="260"/>
      <c r="G61" s="260"/>
      <c r="H61" s="260"/>
      <c r="I61" s="260"/>
      <c r="J61" s="260"/>
      <c r="K61" s="260"/>
      <c r="L61" s="260"/>
      <c r="BA61" s="222"/>
      <c r="BB61" s="260"/>
      <c r="BC61" s="260"/>
      <c r="BD61" s="260"/>
      <c r="BE61" s="260"/>
      <c r="BF61" s="260"/>
      <c r="BG61" s="260"/>
      <c r="BH61" s="260"/>
      <c r="BI61" s="260"/>
      <c r="BJ61" s="260"/>
      <c r="BK61" s="260"/>
      <c r="BL61" s="260"/>
    </row>
    <row r="62" spans="1:64" ht="15" customHeight="1">
      <c r="A62" s="222"/>
      <c r="B62" s="260"/>
      <c r="C62" s="260"/>
      <c r="D62" s="260"/>
      <c r="E62" s="260"/>
      <c r="F62" s="260"/>
      <c r="G62" s="260"/>
      <c r="H62" s="260"/>
      <c r="I62" s="260"/>
      <c r="J62" s="260"/>
      <c r="K62" s="260"/>
      <c r="L62" s="260"/>
      <c r="BA62" s="222"/>
      <c r="BB62" s="260"/>
      <c r="BC62" s="260"/>
      <c r="BD62" s="260"/>
      <c r="BE62" s="260"/>
      <c r="BF62" s="260"/>
      <c r="BG62" s="260"/>
      <c r="BH62" s="260"/>
      <c r="BI62" s="260"/>
      <c r="BJ62" s="260"/>
      <c r="BK62" s="260"/>
      <c r="BL62" s="260"/>
    </row>
    <row r="63" spans="1:64">
      <c r="A63" s="55">
        <v>11</v>
      </c>
      <c r="B63" s="252" t="s">
        <v>254</v>
      </c>
      <c r="C63" s="252"/>
      <c r="D63" s="252"/>
      <c r="E63" s="252"/>
      <c r="F63" s="252"/>
      <c r="G63" s="252"/>
      <c r="H63" s="252"/>
      <c r="I63" s="252"/>
      <c r="J63" s="252"/>
      <c r="K63" s="252"/>
      <c r="L63" s="252"/>
      <c r="BA63" s="55">
        <v>11</v>
      </c>
      <c r="BB63" s="252" t="s">
        <v>254</v>
      </c>
      <c r="BC63" s="252"/>
      <c r="BD63" s="252"/>
      <c r="BE63" s="252"/>
      <c r="BF63" s="252"/>
      <c r="BG63" s="252"/>
      <c r="BH63" s="252"/>
      <c r="BI63" s="252"/>
      <c r="BJ63" s="252"/>
      <c r="BK63" s="252"/>
      <c r="BL63" s="252"/>
    </row>
    <row r="64" spans="1:64">
      <c r="A64" s="244">
        <v>12</v>
      </c>
      <c r="B64" s="243" t="s">
        <v>260</v>
      </c>
      <c r="C64" s="243"/>
      <c r="D64" s="243"/>
      <c r="E64" s="243"/>
      <c r="F64" s="243"/>
      <c r="G64" s="243"/>
      <c r="H64" s="243"/>
      <c r="I64" s="243"/>
      <c r="J64" s="243"/>
      <c r="K64" s="243"/>
      <c r="L64" s="243"/>
      <c r="BA64" s="244">
        <v>12</v>
      </c>
      <c r="BB64" s="243" t="s">
        <v>260</v>
      </c>
      <c r="BC64" s="243"/>
      <c r="BD64" s="243"/>
      <c r="BE64" s="243"/>
      <c r="BF64" s="243"/>
      <c r="BG64" s="243"/>
      <c r="BH64" s="243"/>
      <c r="BI64" s="243"/>
      <c r="BJ64" s="243"/>
      <c r="BK64" s="243"/>
      <c r="BL64" s="243"/>
    </row>
    <row r="65" spans="1:64">
      <c r="A65" s="244"/>
      <c r="B65" s="243"/>
      <c r="C65" s="243"/>
      <c r="D65" s="243"/>
      <c r="E65" s="243"/>
      <c r="F65" s="243"/>
      <c r="G65" s="243"/>
      <c r="H65" s="243"/>
      <c r="I65" s="243"/>
      <c r="J65" s="243"/>
      <c r="K65" s="243"/>
      <c r="L65" s="243"/>
      <c r="BA65" s="244"/>
      <c r="BB65" s="243"/>
      <c r="BC65" s="243"/>
      <c r="BD65" s="243"/>
      <c r="BE65" s="243"/>
      <c r="BF65" s="243"/>
      <c r="BG65" s="243"/>
      <c r="BH65" s="243"/>
      <c r="BI65" s="243"/>
      <c r="BJ65" s="243"/>
      <c r="BK65" s="243"/>
      <c r="BL65" s="243"/>
    </row>
  </sheetData>
  <mergeCells count="233">
    <mergeCell ref="V34:W34"/>
    <mergeCell ref="V35:W35"/>
    <mergeCell ref="M26:O26"/>
    <mergeCell ref="V26:X26"/>
    <mergeCell ref="V27:W27"/>
    <mergeCell ref="V28:W28"/>
    <mergeCell ref="V29:W29"/>
    <mergeCell ref="V30:W30"/>
    <mergeCell ref="V31:W31"/>
    <mergeCell ref="V32:W32"/>
    <mergeCell ref="V33:W33"/>
    <mergeCell ref="M34:N34"/>
    <mergeCell ref="M35:N35"/>
    <mergeCell ref="M27:N27"/>
    <mergeCell ref="M28:N28"/>
    <mergeCell ref="M29:N29"/>
    <mergeCell ref="M30:N30"/>
    <mergeCell ref="M31:N31"/>
    <mergeCell ref="M32:N32"/>
    <mergeCell ref="M33:N33"/>
    <mergeCell ref="BA58:BA59"/>
    <mergeCell ref="BB58:BL59"/>
    <mergeCell ref="BA60:BA62"/>
    <mergeCell ref="BB60:BL62"/>
    <mergeCell ref="BB63:BL63"/>
    <mergeCell ref="BA64:BA65"/>
    <mergeCell ref="BB64:BL65"/>
    <mergeCell ref="BB46:BL46"/>
    <mergeCell ref="BB47:BL47"/>
    <mergeCell ref="BA48:BA50"/>
    <mergeCell ref="BB48:BL50"/>
    <mergeCell ref="BA51:BA52"/>
    <mergeCell ref="BB51:BL52"/>
    <mergeCell ref="BA53:BA54"/>
    <mergeCell ref="BB53:BL54"/>
    <mergeCell ref="BA55:BA57"/>
    <mergeCell ref="BB55:BL57"/>
    <mergeCell ref="BA41:BB41"/>
    <mergeCell ref="BC41:BD41"/>
    <mergeCell ref="BF41:BG41"/>
    <mergeCell ref="BH41:BI41"/>
    <mergeCell ref="BJ41:BL41"/>
    <mergeCell ref="BA42:BL42"/>
    <mergeCell ref="BA43:BA44"/>
    <mergeCell ref="BB43:BL44"/>
    <mergeCell ref="BB45:BL45"/>
    <mergeCell ref="BA39:BB39"/>
    <mergeCell ref="BC39:BD39"/>
    <mergeCell ref="BF39:BG39"/>
    <mergeCell ref="BH39:BI39"/>
    <mergeCell ref="BJ39:BL39"/>
    <mergeCell ref="BA40:BB40"/>
    <mergeCell ref="BC40:BD40"/>
    <mergeCell ref="BF40:BG40"/>
    <mergeCell ref="BH40:BI40"/>
    <mergeCell ref="BJ40:BL40"/>
    <mergeCell ref="BA37:BB37"/>
    <mergeCell ref="BC37:BD37"/>
    <mergeCell ref="BF37:BG37"/>
    <mergeCell ref="BH37:BI37"/>
    <mergeCell ref="BJ37:BL37"/>
    <mergeCell ref="BA38:BB38"/>
    <mergeCell ref="BC38:BD38"/>
    <mergeCell ref="BF38:BG38"/>
    <mergeCell ref="BH38:BI38"/>
    <mergeCell ref="BJ38:BL38"/>
    <mergeCell ref="BA34:BC34"/>
    <mergeCell ref="BE34:BG34"/>
    <mergeCell ref="BI34:BK34"/>
    <mergeCell ref="BA35:BD35"/>
    <mergeCell ref="BE35:BG35"/>
    <mergeCell ref="BH35:BL35"/>
    <mergeCell ref="BA36:BB36"/>
    <mergeCell ref="BC36:BD36"/>
    <mergeCell ref="BF36:BG36"/>
    <mergeCell ref="BH36:BI36"/>
    <mergeCell ref="BJ36:BL36"/>
    <mergeCell ref="BA31:BC31"/>
    <mergeCell ref="BE31:BG31"/>
    <mergeCell ref="BI31:BK31"/>
    <mergeCell ref="BA32:BC32"/>
    <mergeCell ref="BE32:BG32"/>
    <mergeCell ref="BI32:BK32"/>
    <mergeCell ref="BA33:BC33"/>
    <mergeCell ref="BE33:BG33"/>
    <mergeCell ref="BI33:BK33"/>
    <mergeCell ref="BA28:BC28"/>
    <mergeCell ref="BE28:BG28"/>
    <mergeCell ref="BI28:BK28"/>
    <mergeCell ref="BA29:BC29"/>
    <mergeCell ref="BE29:BG29"/>
    <mergeCell ref="BI29:BK29"/>
    <mergeCell ref="BA30:BC30"/>
    <mergeCell ref="BE30:BG30"/>
    <mergeCell ref="BI30:BK30"/>
    <mergeCell ref="BB8:BD8"/>
    <mergeCell ref="BE8:BH8"/>
    <mergeCell ref="BI8:BK8"/>
    <mergeCell ref="BA25:BL25"/>
    <mergeCell ref="BA26:BD26"/>
    <mergeCell ref="BE26:BH26"/>
    <mergeCell ref="BI26:BL26"/>
    <mergeCell ref="BA27:BC27"/>
    <mergeCell ref="BE27:BG27"/>
    <mergeCell ref="BI27:BK27"/>
    <mergeCell ref="A1:L1"/>
    <mergeCell ref="BA1:BL1"/>
    <mergeCell ref="BA2:BL2"/>
    <mergeCell ref="BA3:BA4"/>
    <mergeCell ref="BB3:BG4"/>
    <mergeCell ref="BH3:BI4"/>
    <mergeCell ref="BJ3:BL4"/>
    <mergeCell ref="BA5:BA6"/>
    <mergeCell ref="BB5:BG6"/>
    <mergeCell ref="BH5:BI6"/>
    <mergeCell ref="BJ5:BL6"/>
    <mergeCell ref="A2:L2"/>
    <mergeCell ref="J3:L4"/>
    <mergeCell ref="J5:L6"/>
    <mergeCell ref="B3:G4"/>
    <mergeCell ref="B5:G6"/>
    <mergeCell ref="A3:A4"/>
    <mergeCell ref="A5:A6"/>
    <mergeCell ref="H3:I4"/>
    <mergeCell ref="H5:I6"/>
    <mergeCell ref="M2:AV4"/>
    <mergeCell ref="AL5:AL8"/>
    <mergeCell ref="AM5:AM8"/>
    <mergeCell ref="AN5:AN8"/>
    <mergeCell ref="B60:L62"/>
    <mergeCell ref="A60:A62"/>
    <mergeCell ref="B51:L52"/>
    <mergeCell ref="A51:A52"/>
    <mergeCell ref="E26:H26"/>
    <mergeCell ref="I26:L26"/>
    <mergeCell ref="A53:A54"/>
    <mergeCell ref="B53:L54"/>
    <mergeCell ref="A38:B38"/>
    <mergeCell ref="A39:B39"/>
    <mergeCell ref="A40:B40"/>
    <mergeCell ref="A41:B41"/>
    <mergeCell ref="C36:D36"/>
    <mergeCell ref="C37:D37"/>
    <mergeCell ref="C38:D38"/>
    <mergeCell ref="C39:D39"/>
    <mergeCell ref="C40:D40"/>
    <mergeCell ref="H40:I40"/>
    <mergeCell ref="H41:I41"/>
    <mergeCell ref="J40:L40"/>
    <mergeCell ref="J41:L41"/>
    <mergeCell ref="A43:A44"/>
    <mergeCell ref="B48:L50"/>
    <mergeCell ref="A48:A50"/>
    <mergeCell ref="B47:L47"/>
    <mergeCell ref="B43:L44"/>
    <mergeCell ref="H35:L35"/>
    <mergeCell ref="H36:I36"/>
    <mergeCell ref="H37:I37"/>
    <mergeCell ref="H38:I38"/>
    <mergeCell ref="H39:I39"/>
    <mergeCell ref="J36:L36"/>
    <mergeCell ref="J37:L37"/>
    <mergeCell ref="J38:L38"/>
    <mergeCell ref="J39:L39"/>
    <mergeCell ref="A36:B36"/>
    <mergeCell ref="A37:B37"/>
    <mergeCell ref="C41:D41"/>
    <mergeCell ref="F37:G37"/>
    <mergeCell ref="F38:G38"/>
    <mergeCell ref="F39:G39"/>
    <mergeCell ref="F40:G40"/>
    <mergeCell ref="F41:G41"/>
    <mergeCell ref="A42:L42"/>
    <mergeCell ref="B8:D8"/>
    <mergeCell ref="E8:H8"/>
    <mergeCell ref="I8:K8"/>
    <mergeCell ref="I31:K31"/>
    <mergeCell ref="I32:K32"/>
    <mergeCell ref="I33:K33"/>
    <mergeCell ref="I34:K34"/>
    <mergeCell ref="E27:G27"/>
    <mergeCell ref="I27:K27"/>
    <mergeCell ref="E28:G28"/>
    <mergeCell ref="E29:G29"/>
    <mergeCell ref="E30:G30"/>
    <mergeCell ref="I28:K28"/>
    <mergeCell ref="I29:K29"/>
    <mergeCell ref="I30:K30"/>
    <mergeCell ref="E34:G34"/>
    <mergeCell ref="E33:G33"/>
    <mergeCell ref="B64:L65"/>
    <mergeCell ref="A64:A65"/>
    <mergeCell ref="A25:L25"/>
    <mergeCell ref="A27:C27"/>
    <mergeCell ref="B55:L57"/>
    <mergeCell ref="A55:A57"/>
    <mergeCell ref="B58:L59"/>
    <mergeCell ref="A58:A59"/>
    <mergeCell ref="B63:L63"/>
    <mergeCell ref="A35:D35"/>
    <mergeCell ref="A32:C32"/>
    <mergeCell ref="A33:C33"/>
    <mergeCell ref="A34:C34"/>
    <mergeCell ref="E35:G35"/>
    <mergeCell ref="F36:G36"/>
    <mergeCell ref="A26:D26"/>
    <mergeCell ref="A28:C28"/>
    <mergeCell ref="A29:C29"/>
    <mergeCell ref="A30:C30"/>
    <mergeCell ref="A31:C31"/>
    <mergeCell ref="E31:G31"/>
    <mergeCell ref="E32:G32"/>
    <mergeCell ref="B45:L45"/>
    <mergeCell ref="B46:L46"/>
    <mergeCell ref="AO5:AO8"/>
    <mergeCell ref="AR5:AR8"/>
    <mergeCell ref="AS5:AS8"/>
    <mergeCell ref="AU5:AU8"/>
    <mergeCell ref="AV5:AV8"/>
    <mergeCell ref="M5:M8"/>
    <mergeCell ref="N5:N8"/>
    <mergeCell ref="O5:O8"/>
    <mergeCell ref="W5:W8"/>
    <mergeCell ref="X5:X8"/>
    <mergeCell ref="AJ5:AJ8"/>
    <mergeCell ref="AK5:AK8"/>
    <mergeCell ref="AT5:AT8"/>
    <mergeCell ref="P5:V7"/>
    <mergeCell ref="V8:V9"/>
    <mergeCell ref="AP5:AP8"/>
    <mergeCell ref="AQ5:AQ9"/>
    <mergeCell ref="Y5:AI7"/>
    <mergeCell ref="AI8:AI9"/>
  </mergeCells>
  <phoneticPr fontId="51" type="noConversion"/>
  <printOptions horizontalCentered="1"/>
  <pageMargins left="0.23622047244094491" right="0.23622047244094491" top="1.0629921259842521" bottom="0.19685039370078741" header="0.31496062992125984" footer="0.11811023622047245"/>
  <pageSetup paperSize="9" scale="61" orientation="portrait" horizontalDpi="4294967293" verticalDpi="0" r:id="rId1"/>
  <headerFooter>
    <oddHeader>&amp;L&amp;G&amp;C&amp;"Bookman Old Style,Bold"&amp;22&amp;K08+000HI - TECH&amp;K01+000
&amp;K05+000SOLAR SOLUTION&amp;"-,Regular"&amp;11&amp;K01+000
&amp;"Book Antiqua,Regular"&amp;9Solutions You Can Trust.
&amp;"Times New Roman,Bold"&amp;10GSTIN : 24AAPFH9566D1Z1
&amp;RM ; &amp;U8140535380&amp;U
Er. Ilyas Kaydawala
&amp;D</oddHeader>
    <oddFooter>&amp;C&amp;"Times New Roman,Bold"OFFICE - 2nd Floor Gujarat Light, Nr Mahila Police Station, Godhra Road, Dahod - 389151</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W61"/>
  <sheetViews>
    <sheetView topLeftCell="M11" zoomScaleNormal="100" workbookViewId="0">
      <selection activeCell="P17" sqref="P17"/>
    </sheetView>
  </sheetViews>
  <sheetFormatPr defaultRowHeight="15"/>
  <cols>
    <col min="1" max="3" width="11.85546875" style="33" customWidth="1"/>
    <col min="4" max="4" width="15.140625" style="33" bestFit="1" customWidth="1"/>
    <col min="5" max="5" width="11.85546875" style="33" customWidth="1"/>
    <col min="6" max="6" width="16.5703125" style="33" bestFit="1" customWidth="1"/>
    <col min="7" max="7" width="11.85546875" style="33" customWidth="1"/>
    <col min="8" max="8" width="16.7109375" style="33" bestFit="1" customWidth="1"/>
    <col min="9" max="9" width="14.85546875" style="33" bestFit="1" customWidth="1"/>
    <col min="10" max="10" width="13.5703125" style="33" bestFit="1" customWidth="1"/>
    <col min="11" max="11" width="11.7109375" style="33" bestFit="1" customWidth="1"/>
    <col min="12" max="12" width="16" style="33" customWidth="1"/>
    <col min="13" max="13" width="8.5703125" bestFit="1" customWidth="1"/>
    <col min="14" max="14" width="13.28515625" bestFit="1" customWidth="1"/>
    <col min="15" max="15" width="11.5703125" bestFit="1" customWidth="1"/>
    <col min="16" max="16" width="13.42578125" bestFit="1" customWidth="1"/>
    <col min="17" max="17" width="13.28515625" bestFit="1" customWidth="1"/>
    <col min="18" max="18" width="10.5703125" bestFit="1" customWidth="1"/>
    <col min="19" max="20" width="13.42578125" bestFit="1" customWidth="1"/>
    <col min="21" max="22" width="13" bestFit="1" customWidth="1"/>
    <col min="23" max="23" width="13.140625" bestFit="1" customWidth="1"/>
    <col min="24" max="24" width="18.7109375" bestFit="1" customWidth="1"/>
    <col min="25" max="25" width="14.7109375" bestFit="1" customWidth="1"/>
    <col min="26" max="26" width="13.28515625" bestFit="1" customWidth="1"/>
    <col min="27" max="27" width="16.85546875" customWidth="1"/>
    <col min="28" max="28" width="16.7109375" bestFit="1" customWidth="1"/>
    <col min="29" max="29" width="16.7109375" customWidth="1"/>
    <col min="30" max="30" width="11.5703125" bestFit="1" customWidth="1"/>
    <col min="31" max="31" width="15.140625" bestFit="1" customWidth="1"/>
    <col min="32" max="32" width="14" bestFit="1" customWidth="1"/>
    <col min="33" max="35" width="10.5703125" bestFit="1" customWidth="1"/>
    <col min="36" max="36" width="15.140625" bestFit="1" customWidth="1"/>
    <col min="37" max="39" width="12.42578125" customWidth="1"/>
    <col min="40" max="40" width="18.7109375" bestFit="1" customWidth="1"/>
    <col min="41" max="41" width="14.7109375" bestFit="1" customWidth="1"/>
    <col min="42" max="42" width="14.42578125" bestFit="1" customWidth="1"/>
    <col min="43" max="43" width="13.28515625" bestFit="1" customWidth="1"/>
    <col min="44" max="44" width="16.42578125" customWidth="1"/>
    <col min="45" max="45" width="16.7109375" bestFit="1" customWidth="1"/>
    <col min="46" max="47" width="11.5703125" bestFit="1" customWidth="1"/>
    <col min="48" max="48" width="15.140625" bestFit="1" customWidth="1"/>
    <col min="49" max="49" width="12.28515625" bestFit="1" customWidth="1"/>
  </cols>
  <sheetData>
    <row r="1" spans="1:49" ht="9.9499999999999993" customHeight="1" thickTop="1">
      <c r="A1" s="277"/>
      <c r="B1" s="277"/>
      <c r="C1" s="277"/>
      <c r="D1" s="277"/>
      <c r="E1" s="277"/>
      <c r="F1" s="277"/>
      <c r="G1" s="277"/>
      <c r="H1" s="277"/>
      <c r="I1" s="277"/>
      <c r="J1" s="277"/>
      <c r="K1" s="277"/>
      <c r="L1" s="277"/>
      <c r="M1" t="s">
        <v>296</v>
      </c>
      <c r="AJ1" s="277"/>
      <c r="AK1" s="277"/>
      <c r="AL1" s="277"/>
      <c r="AM1" s="277"/>
      <c r="AN1" s="277"/>
      <c r="AO1" s="277"/>
      <c r="AP1" s="277"/>
      <c r="AQ1" s="277"/>
      <c r="AR1" s="277"/>
      <c r="AS1" s="277"/>
      <c r="AT1" s="277"/>
      <c r="AU1" s="277"/>
    </row>
    <row r="2" spans="1:49" ht="15" customHeight="1" thickBot="1">
      <c r="A2" s="278" t="s">
        <v>256</v>
      </c>
      <c r="B2" s="278"/>
      <c r="C2" s="278"/>
      <c r="D2" s="278"/>
      <c r="E2" s="278"/>
      <c r="F2" s="278"/>
      <c r="G2" s="278"/>
      <c r="H2" s="278"/>
      <c r="I2" s="278"/>
      <c r="J2" s="278"/>
      <c r="K2" s="278"/>
      <c r="L2" s="278"/>
      <c r="M2" s="285" t="s">
        <v>280</v>
      </c>
      <c r="N2" s="285"/>
      <c r="O2" s="285"/>
      <c r="P2" s="285"/>
      <c r="Q2" s="285"/>
      <c r="R2" s="285"/>
      <c r="S2" s="285"/>
      <c r="T2" s="285"/>
      <c r="U2" s="285"/>
      <c r="V2" s="285"/>
      <c r="W2" s="285"/>
      <c r="X2" s="285"/>
      <c r="Y2" s="285"/>
      <c r="Z2" s="285"/>
      <c r="AA2" s="285"/>
      <c r="AB2" s="285"/>
      <c r="AC2" s="285"/>
      <c r="AD2" s="285"/>
      <c r="AE2" s="285"/>
      <c r="AF2" s="285"/>
      <c r="AG2" s="285"/>
      <c r="AH2" s="285"/>
      <c r="AI2" s="285"/>
      <c r="AJ2" s="285"/>
      <c r="AK2" s="285"/>
      <c r="AL2" s="285"/>
      <c r="AM2" s="285"/>
      <c r="AN2" s="285"/>
      <c r="AO2" s="285"/>
      <c r="AP2" s="285"/>
      <c r="AQ2" s="285"/>
      <c r="AR2" s="285"/>
      <c r="AS2" s="285"/>
      <c r="AT2" s="285"/>
      <c r="AU2" s="285"/>
      <c r="AV2" s="285"/>
    </row>
    <row r="3" spans="1:49" ht="15" customHeight="1">
      <c r="A3" s="279" t="s">
        <v>5</v>
      </c>
      <c r="B3" s="281"/>
      <c r="C3" s="281"/>
      <c r="D3" s="281"/>
      <c r="E3" s="281"/>
      <c r="F3" s="281"/>
      <c r="G3" s="281"/>
      <c r="H3" s="281" t="s">
        <v>166</v>
      </c>
      <c r="I3" s="281"/>
      <c r="J3" s="281"/>
      <c r="K3" s="281"/>
      <c r="L3" s="294"/>
      <c r="M3" s="285"/>
      <c r="N3" s="285"/>
      <c r="O3" s="285"/>
      <c r="P3" s="285"/>
      <c r="Q3" s="285"/>
      <c r="R3" s="285"/>
      <c r="S3" s="285"/>
      <c r="T3" s="285"/>
      <c r="U3" s="285"/>
      <c r="V3" s="285"/>
      <c r="W3" s="285"/>
      <c r="X3" s="285"/>
      <c r="Y3" s="285"/>
      <c r="Z3" s="285"/>
      <c r="AA3" s="285"/>
      <c r="AB3" s="285"/>
      <c r="AC3" s="285"/>
      <c r="AD3" s="285"/>
      <c r="AE3" s="285"/>
      <c r="AF3" s="285"/>
      <c r="AG3" s="285"/>
      <c r="AH3" s="285"/>
      <c r="AI3" s="285"/>
      <c r="AJ3" s="285"/>
      <c r="AK3" s="285"/>
      <c r="AL3" s="285"/>
      <c r="AM3" s="285"/>
      <c r="AN3" s="285"/>
      <c r="AO3" s="285"/>
      <c r="AP3" s="285"/>
      <c r="AQ3" s="285"/>
      <c r="AR3" s="285"/>
      <c r="AS3" s="285"/>
      <c r="AT3" s="285"/>
      <c r="AU3" s="285"/>
      <c r="AV3" s="285"/>
    </row>
    <row r="4" spans="1:49" ht="15" customHeight="1">
      <c r="A4" s="280"/>
      <c r="B4" s="282"/>
      <c r="C4" s="282"/>
      <c r="D4" s="282"/>
      <c r="E4" s="282"/>
      <c r="F4" s="282"/>
      <c r="G4" s="282"/>
      <c r="H4" s="283"/>
      <c r="I4" s="283"/>
      <c r="J4" s="282"/>
      <c r="K4" s="282"/>
      <c r="L4" s="295"/>
      <c r="M4" s="285"/>
      <c r="N4" s="285"/>
      <c r="O4" s="285"/>
      <c r="P4" s="285"/>
      <c r="Q4" s="285"/>
      <c r="R4" s="285"/>
      <c r="S4" s="285"/>
      <c r="T4" s="285"/>
      <c r="U4" s="285"/>
      <c r="V4" s="285"/>
      <c r="W4" s="285"/>
      <c r="X4" s="285"/>
      <c r="Y4" s="285"/>
      <c r="Z4" s="285"/>
      <c r="AA4" s="285"/>
      <c r="AB4" s="285"/>
      <c r="AC4" s="285"/>
      <c r="AD4" s="285"/>
      <c r="AE4" s="285"/>
      <c r="AF4" s="285"/>
      <c r="AG4" s="285"/>
      <c r="AH4" s="285"/>
      <c r="AI4" s="285"/>
      <c r="AJ4" s="285"/>
      <c r="AK4" s="285"/>
      <c r="AL4" s="285"/>
      <c r="AM4" s="285"/>
      <c r="AN4" s="285"/>
      <c r="AO4" s="285"/>
      <c r="AP4" s="285"/>
      <c r="AQ4" s="285"/>
      <c r="AR4" s="285"/>
      <c r="AS4" s="285"/>
      <c r="AT4" s="285"/>
      <c r="AU4" s="285"/>
      <c r="AV4" s="285"/>
    </row>
    <row r="5" spans="1:49" ht="15" customHeight="1">
      <c r="A5" s="280" t="s">
        <v>225</v>
      </c>
      <c r="B5" s="283"/>
      <c r="C5" s="283"/>
      <c r="D5" s="283"/>
      <c r="E5" s="283"/>
      <c r="F5" s="283"/>
      <c r="G5" s="283"/>
      <c r="H5" s="283" t="s">
        <v>226</v>
      </c>
      <c r="I5" s="283"/>
      <c r="J5" s="284"/>
      <c r="K5" s="284"/>
      <c r="L5" s="296"/>
      <c r="M5" s="240" t="s">
        <v>294</v>
      </c>
      <c r="N5" s="240" t="s">
        <v>281</v>
      </c>
      <c r="O5" s="240" t="s">
        <v>282</v>
      </c>
      <c r="P5" s="240" t="s">
        <v>283</v>
      </c>
      <c r="Q5" s="240"/>
      <c r="R5" s="240"/>
      <c r="S5" s="240"/>
      <c r="T5" s="240"/>
      <c r="U5" s="240"/>
      <c r="V5" s="240"/>
      <c r="W5" s="240" t="s">
        <v>159</v>
      </c>
      <c r="X5" s="240" t="s">
        <v>160</v>
      </c>
      <c r="Y5" s="240" t="s">
        <v>284</v>
      </c>
      <c r="Z5" s="240"/>
      <c r="AA5" s="240"/>
      <c r="AB5" s="240"/>
      <c r="AC5" s="240"/>
      <c r="AD5" s="240"/>
      <c r="AE5" s="240"/>
      <c r="AF5" s="240"/>
      <c r="AG5" s="240"/>
      <c r="AH5" s="240"/>
      <c r="AI5" s="240"/>
      <c r="AJ5" s="240" t="s">
        <v>352</v>
      </c>
      <c r="AK5" s="240" t="s">
        <v>285</v>
      </c>
      <c r="AL5" s="240" t="s">
        <v>286</v>
      </c>
      <c r="AM5" s="240" t="s">
        <v>287</v>
      </c>
      <c r="AN5" s="240" t="s">
        <v>288</v>
      </c>
      <c r="AO5" s="240" t="s">
        <v>289</v>
      </c>
      <c r="AP5" s="240" t="s">
        <v>353</v>
      </c>
      <c r="AQ5" s="286" t="s">
        <v>292</v>
      </c>
      <c r="AR5" s="240" t="s">
        <v>293</v>
      </c>
      <c r="AS5" s="240" t="s">
        <v>290</v>
      </c>
      <c r="AT5" s="240" t="s">
        <v>308</v>
      </c>
      <c r="AU5" s="240" t="s">
        <v>291</v>
      </c>
      <c r="AV5" s="240" t="s">
        <v>161</v>
      </c>
    </row>
    <row r="6" spans="1:49" ht="9.9499999999999993" customHeight="1">
      <c r="A6" s="280"/>
      <c r="B6" s="282"/>
      <c r="C6" s="282"/>
      <c r="D6" s="282"/>
      <c r="E6" s="282"/>
      <c r="F6" s="282"/>
      <c r="G6" s="282"/>
      <c r="H6" s="283"/>
      <c r="I6" s="283"/>
      <c r="J6" s="282"/>
      <c r="K6" s="282"/>
      <c r="L6" s="295"/>
      <c r="M6" s="240"/>
      <c r="N6" s="240"/>
      <c r="O6" s="240"/>
      <c r="P6" s="240"/>
      <c r="Q6" s="240"/>
      <c r="R6" s="240"/>
      <c r="S6" s="240"/>
      <c r="T6" s="240"/>
      <c r="U6" s="240"/>
      <c r="V6" s="240"/>
      <c r="W6" s="240"/>
      <c r="X6" s="240"/>
      <c r="Y6" s="240"/>
      <c r="Z6" s="240"/>
      <c r="AA6" s="240"/>
      <c r="AB6" s="240"/>
      <c r="AC6" s="240"/>
      <c r="AD6" s="240"/>
      <c r="AE6" s="240"/>
      <c r="AF6" s="240"/>
      <c r="AG6" s="240"/>
      <c r="AH6" s="240"/>
      <c r="AI6" s="240"/>
      <c r="AJ6" s="240"/>
      <c r="AK6" s="240"/>
      <c r="AL6" s="240"/>
      <c r="AM6" s="240"/>
      <c r="AN6" s="240"/>
      <c r="AO6" s="240"/>
      <c r="AP6" s="240"/>
      <c r="AQ6" s="287"/>
      <c r="AR6" s="240"/>
      <c r="AS6" s="240"/>
      <c r="AT6" s="240"/>
      <c r="AU6" s="240"/>
      <c r="AV6" s="240"/>
    </row>
    <row r="7" spans="1:49" ht="30" customHeight="1" thickBot="1">
      <c r="A7" s="52"/>
      <c r="B7" s="52"/>
      <c r="C7" s="52"/>
      <c r="D7" s="52"/>
      <c r="E7" s="52"/>
      <c r="F7" s="52"/>
      <c r="G7" s="52"/>
      <c r="H7" s="52"/>
      <c r="I7" s="52"/>
      <c r="J7" s="52"/>
      <c r="K7" s="52"/>
      <c r="L7" s="52"/>
      <c r="M7" s="240"/>
      <c r="N7" s="240"/>
      <c r="O7" s="240"/>
      <c r="P7" s="240"/>
      <c r="Q7" s="240"/>
      <c r="R7" s="240"/>
      <c r="S7" s="240"/>
      <c r="T7" s="240"/>
      <c r="U7" s="240"/>
      <c r="V7" s="240"/>
      <c r="W7" s="240"/>
      <c r="X7" s="240"/>
      <c r="Y7" s="240"/>
      <c r="Z7" s="240"/>
      <c r="AA7" s="240"/>
      <c r="AB7" s="240"/>
      <c r="AC7" s="240"/>
      <c r="AD7" s="240"/>
      <c r="AE7" s="240"/>
      <c r="AF7" s="240"/>
      <c r="AG7" s="240"/>
      <c r="AH7" s="240"/>
      <c r="AI7" s="240"/>
      <c r="AJ7" s="240"/>
      <c r="AK7" s="240"/>
      <c r="AL7" s="240"/>
      <c r="AM7" s="240"/>
      <c r="AN7" s="240"/>
      <c r="AO7" s="240"/>
      <c r="AP7" s="240"/>
      <c r="AQ7" s="287"/>
      <c r="AR7" s="240"/>
      <c r="AS7" s="240"/>
      <c r="AT7" s="240"/>
      <c r="AU7" s="240"/>
      <c r="AV7" s="240"/>
    </row>
    <row r="8" spans="1:49" s="40" customFormat="1" ht="65.099999999999994" customHeight="1" thickTop="1" thickBot="1">
      <c r="A8" s="56"/>
      <c r="B8" s="265" t="s">
        <v>223</v>
      </c>
      <c r="C8" s="265"/>
      <c r="D8" s="265"/>
      <c r="E8" s="265" t="s">
        <v>46</v>
      </c>
      <c r="F8" s="265"/>
      <c r="G8" s="265"/>
      <c r="H8" s="265"/>
      <c r="I8" s="266" t="s">
        <v>88</v>
      </c>
      <c r="J8" s="266"/>
      <c r="K8" s="266"/>
      <c r="L8" s="57" t="s">
        <v>224</v>
      </c>
      <c r="M8" s="240"/>
      <c r="N8" s="240"/>
      <c r="O8" s="240"/>
      <c r="P8" s="92" t="s">
        <v>324</v>
      </c>
      <c r="Q8" s="92" t="s">
        <v>323</v>
      </c>
      <c r="R8" s="92" t="s">
        <v>325</v>
      </c>
      <c r="S8" s="92" t="s">
        <v>326</v>
      </c>
      <c r="T8" s="92" t="s">
        <v>327</v>
      </c>
      <c r="U8" s="92" t="s">
        <v>328</v>
      </c>
      <c r="V8" s="241" t="s">
        <v>292</v>
      </c>
      <c r="W8" s="240"/>
      <c r="X8" s="240"/>
      <c r="Y8" s="92" t="s">
        <v>329</v>
      </c>
      <c r="Z8" s="92" t="s">
        <v>330</v>
      </c>
      <c r="AA8" s="92" t="s">
        <v>331</v>
      </c>
      <c r="AB8" s="92" t="s">
        <v>332</v>
      </c>
      <c r="AC8" s="92" t="s">
        <v>351</v>
      </c>
      <c r="AD8" s="92" t="s">
        <v>333</v>
      </c>
      <c r="AE8" s="92" t="s">
        <v>334</v>
      </c>
      <c r="AF8" s="92" t="s">
        <v>335</v>
      </c>
      <c r="AG8" s="92" t="s">
        <v>336</v>
      </c>
      <c r="AH8" s="92" t="s">
        <v>337</v>
      </c>
      <c r="AI8" s="241" t="s">
        <v>292</v>
      </c>
      <c r="AJ8" s="240"/>
      <c r="AK8" s="240"/>
      <c r="AL8" s="240"/>
      <c r="AM8" s="240"/>
      <c r="AN8" s="240"/>
      <c r="AO8" s="240"/>
      <c r="AP8" s="240"/>
      <c r="AQ8" s="287"/>
      <c r="AR8" s="240"/>
      <c r="AS8" s="240"/>
      <c r="AT8" s="240"/>
      <c r="AU8" s="240"/>
      <c r="AV8" s="240"/>
      <c r="AW8"/>
    </row>
    <row r="9" spans="1:49" ht="63.75" thickTop="1">
      <c r="A9" s="69" t="s">
        <v>186</v>
      </c>
      <c r="B9" s="69" t="s">
        <v>96</v>
      </c>
      <c r="C9" s="70" t="s">
        <v>97</v>
      </c>
      <c r="D9" s="70" t="s">
        <v>188</v>
      </c>
      <c r="E9" s="70" t="s">
        <v>98</v>
      </c>
      <c r="F9" s="70" t="s">
        <v>298</v>
      </c>
      <c r="G9" s="70" t="s">
        <v>198</v>
      </c>
      <c r="H9" s="71" t="s">
        <v>187</v>
      </c>
      <c r="I9" s="71" t="s">
        <v>202</v>
      </c>
      <c r="J9" s="71" t="s">
        <v>203</v>
      </c>
      <c r="K9" s="71" t="s">
        <v>204</v>
      </c>
      <c r="L9" s="71" t="s">
        <v>257</v>
      </c>
      <c r="M9" s="81" t="s">
        <v>295</v>
      </c>
      <c r="N9" s="82">
        <v>25.4</v>
      </c>
      <c r="O9" s="82">
        <v>5</v>
      </c>
      <c r="P9" s="82">
        <v>80</v>
      </c>
      <c r="Q9" s="82">
        <v>80</v>
      </c>
      <c r="R9" s="82">
        <v>35</v>
      </c>
      <c r="S9" s="82">
        <v>13</v>
      </c>
      <c r="T9" s="82">
        <v>10</v>
      </c>
      <c r="U9" s="82">
        <v>850</v>
      </c>
      <c r="V9" s="242"/>
      <c r="W9" s="82">
        <v>0.4</v>
      </c>
      <c r="X9" s="82">
        <v>0.4</v>
      </c>
      <c r="Y9" s="82">
        <v>65</v>
      </c>
      <c r="Z9" s="82">
        <v>40</v>
      </c>
      <c r="AA9" s="82">
        <v>90</v>
      </c>
      <c r="AB9" s="82">
        <v>53.5</v>
      </c>
      <c r="AC9" s="82">
        <v>200</v>
      </c>
      <c r="AD9" s="82">
        <v>30</v>
      </c>
      <c r="AE9" s="82">
        <v>45</v>
      </c>
      <c r="AF9" s="82">
        <v>18</v>
      </c>
      <c r="AG9" s="82">
        <v>60</v>
      </c>
      <c r="AH9" s="82">
        <v>75</v>
      </c>
      <c r="AI9" s="242"/>
      <c r="AJ9" s="82">
        <v>1200</v>
      </c>
      <c r="AK9" s="82">
        <v>400</v>
      </c>
      <c r="AL9" s="82">
        <v>400</v>
      </c>
      <c r="AM9" s="82">
        <v>0</v>
      </c>
      <c r="AN9" s="82">
        <v>600</v>
      </c>
      <c r="AO9" s="82">
        <v>1100</v>
      </c>
      <c r="AP9" s="82">
        <v>1000</v>
      </c>
      <c r="AQ9" s="288"/>
      <c r="AR9" s="83">
        <v>0.2</v>
      </c>
      <c r="AS9" s="82"/>
      <c r="AT9" s="84">
        <v>0.05</v>
      </c>
      <c r="AU9" s="84">
        <v>0.18</v>
      </c>
      <c r="AV9" s="85"/>
      <c r="AW9" s="40"/>
    </row>
    <row r="10" spans="1:49" ht="20.100000000000001" customHeight="1">
      <c r="A10" s="61">
        <v>1</v>
      </c>
      <c r="B10" s="41">
        <v>4</v>
      </c>
      <c r="C10" s="61">
        <v>620</v>
      </c>
      <c r="D10" s="42">
        <f>C10*B10/1000</f>
        <v>2.48</v>
      </c>
      <c r="E10" s="63">
        <f>F10/D10</f>
        <v>54543.09193548387</v>
      </c>
      <c r="F10" s="89">
        <v>135266.86799999999</v>
      </c>
      <c r="G10" s="63">
        <f>60000+(18000*(D10-2))</f>
        <v>68640</v>
      </c>
      <c r="H10" s="63">
        <f>F10-G10</f>
        <v>66626.867999999988</v>
      </c>
      <c r="I10" s="62">
        <f>5*D10</f>
        <v>12.4</v>
      </c>
      <c r="J10" s="64">
        <f>I10*60</f>
        <v>744</v>
      </c>
      <c r="K10" s="64">
        <f>J10*8</f>
        <v>5952</v>
      </c>
      <c r="L10" s="64">
        <v>3</v>
      </c>
      <c r="M10" s="87" t="str">
        <f>CONCATENATE(D10,$M$1)</f>
        <v>2.48 KW</v>
      </c>
      <c r="N10" s="86">
        <f>$N$9*(D10*1000)</f>
        <v>62992</v>
      </c>
      <c r="O10" s="86">
        <v>15300</v>
      </c>
      <c r="P10" s="90">
        <f>L10*18*$P$9</f>
        <v>4320</v>
      </c>
      <c r="Q10" s="90">
        <f>L10*15*$Q$9</f>
        <v>3600</v>
      </c>
      <c r="R10" s="90">
        <f>L10*2*$R$9</f>
        <v>210</v>
      </c>
      <c r="S10" s="90">
        <f>B10*4*$S$9</f>
        <v>208</v>
      </c>
      <c r="T10" s="90">
        <f>L10*8*$T$9</f>
        <v>240</v>
      </c>
      <c r="U10" s="90">
        <f>$U$9/2</f>
        <v>425</v>
      </c>
      <c r="V10" s="86">
        <f>SUM(P10:U10)</f>
        <v>9003</v>
      </c>
      <c r="W10" s="86">
        <v>1200</v>
      </c>
      <c r="X10" s="86">
        <f>$X$9*(D10*1000)</f>
        <v>992</v>
      </c>
      <c r="Y10" s="86">
        <f>$D$23*$Y$9</f>
        <v>975</v>
      </c>
      <c r="Z10" s="86">
        <f>$D$24*$Z$9</f>
        <v>1600</v>
      </c>
      <c r="AA10" s="86">
        <v>0</v>
      </c>
      <c r="AB10" s="86">
        <v>0</v>
      </c>
      <c r="AC10" s="86">
        <v>0</v>
      </c>
      <c r="AD10" s="86">
        <f>$D$25*$AD$9</f>
        <v>2100</v>
      </c>
      <c r="AE10" s="86">
        <v>0</v>
      </c>
      <c r="AF10" s="86">
        <f>$D$26*$AF$9</f>
        <v>360</v>
      </c>
      <c r="AG10" s="86">
        <f>$D$27*$AG$9</f>
        <v>1200</v>
      </c>
      <c r="AH10" s="86">
        <v>0</v>
      </c>
      <c r="AI10" s="86">
        <f>SUM(Y10:AH10)</f>
        <v>6235</v>
      </c>
      <c r="AJ10" s="86">
        <f>AJ9</f>
        <v>1200</v>
      </c>
      <c r="AK10" s="86">
        <v>1500</v>
      </c>
      <c r="AL10" s="86">
        <f>AL9</f>
        <v>400</v>
      </c>
      <c r="AM10" s="86">
        <v>0</v>
      </c>
      <c r="AN10" s="86">
        <f>$AN$9*D10</f>
        <v>1488</v>
      </c>
      <c r="AO10" s="86">
        <v>3200</v>
      </c>
      <c r="AP10" s="86">
        <f>D10*$AP$9</f>
        <v>2480</v>
      </c>
      <c r="AQ10" s="86">
        <f>SUM(N10:AO10)-AI10-V10</f>
        <v>103510</v>
      </c>
      <c r="AR10" s="86">
        <f>AQ10*$AR$9</f>
        <v>20702</v>
      </c>
      <c r="AS10" s="86">
        <f>SUM(AQ10:AR10)</f>
        <v>124212</v>
      </c>
      <c r="AT10" s="86">
        <f>(AS10*70%)*$AT$9</f>
        <v>4347.42</v>
      </c>
      <c r="AU10" s="86">
        <f>(AS10*30%)*$AU$9</f>
        <v>6707.4479999999994</v>
      </c>
      <c r="AV10" s="90">
        <f>SUM(AS10:AU10)</f>
        <v>135266.86799999999</v>
      </c>
      <c r="AW10" s="76">
        <f>AV10-F10</f>
        <v>0</v>
      </c>
    </row>
    <row r="11" spans="1:49" ht="20.100000000000001" customHeight="1">
      <c r="A11" s="61">
        <v>2</v>
      </c>
      <c r="B11" s="41">
        <v>5</v>
      </c>
      <c r="C11" s="61">
        <v>620</v>
      </c>
      <c r="D11" s="42">
        <f>C11*B11/1000</f>
        <v>3.1</v>
      </c>
      <c r="E11" s="63">
        <f t="shared" ref="E11:E19" si="0">F11/D11</f>
        <v>50640.607741935477</v>
      </c>
      <c r="F11" s="89">
        <v>156985.88399999999</v>
      </c>
      <c r="G11" s="63">
        <v>78000</v>
      </c>
      <c r="H11" s="63">
        <f>F11-G11</f>
        <v>78985.883999999991</v>
      </c>
      <c r="I11" s="62">
        <f t="shared" ref="I11:I19" si="1">5*D11</f>
        <v>15.5</v>
      </c>
      <c r="J11" s="64">
        <f t="shared" ref="J11:J19" si="2">I11*60</f>
        <v>930</v>
      </c>
      <c r="K11" s="64">
        <f t="shared" ref="K11:K19" si="3">J11*8</f>
        <v>7440</v>
      </c>
      <c r="L11" s="64">
        <v>3</v>
      </c>
      <c r="M11" s="87" t="str">
        <f t="shared" ref="M11:M19" si="4">CONCATENATE(D11,$M$1)</f>
        <v>3.1 KW</v>
      </c>
      <c r="N11" s="86">
        <f t="shared" ref="N11:N19" si="5">$N$9*(D11*1000)</f>
        <v>78740</v>
      </c>
      <c r="O11" s="86">
        <v>15500</v>
      </c>
      <c r="P11" s="90">
        <f t="shared" ref="P11:P19" si="6">L11*18*$P$9</f>
        <v>4320</v>
      </c>
      <c r="Q11" s="90">
        <f t="shared" ref="Q11:Q19" si="7">L11*15*$Q$9</f>
        <v>3600</v>
      </c>
      <c r="R11" s="90">
        <f t="shared" ref="R11:R19" si="8">L11*2*$R$9</f>
        <v>210</v>
      </c>
      <c r="S11" s="90">
        <f t="shared" ref="S11:S19" si="9">B11*4*$S$9</f>
        <v>260</v>
      </c>
      <c r="T11" s="90">
        <f t="shared" ref="T11:T19" si="10">L11*8*$T$9</f>
        <v>240</v>
      </c>
      <c r="U11" s="90">
        <f t="shared" ref="U11:U19" si="11">$U$9/2</f>
        <v>425</v>
      </c>
      <c r="V11" s="86">
        <f t="shared" ref="V11:V19" si="12">SUM(P11:U11)</f>
        <v>9055</v>
      </c>
      <c r="W11" s="86">
        <v>1200</v>
      </c>
      <c r="X11" s="86">
        <f t="shared" ref="X11:X19" si="13">$X$9*(D11*1000)</f>
        <v>1240</v>
      </c>
      <c r="Y11" s="86">
        <f t="shared" ref="Y11:Y13" si="14">$D$23*$Y$9</f>
        <v>975</v>
      </c>
      <c r="Z11" s="86">
        <f t="shared" ref="Z11:Z13" si="15">$D$24*$Z$9</f>
        <v>1600</v>
      </c>
      <c r="AA11" s="86">
        <v>0</v>
      </c>
      <c r="AB11" s="86">
        <v>0</v>
      </c>
      <c r="AC11" s="86">
        <v>0</v>
      </c>
      <c r="AD11" s="86">
        <f t="shared" ref="AD11:AD13" si="16">$D$25*$AD$9</f>
        <v>2100</v>
      </c>
      <c r="AE11" s="86">
        <v>0</v>
      </c>
      <c r="AF11" s="86">
        <f t="shared" ref="AF11:AF13" si="17">$D$26*$AF$9</f>
        <v>360</v>
      </c>
      <c r="AG11" s="86">
        <f t="shared" ref="AG11:AG13" si="18">$D$27*$AG$9</f>
        <v>1200</v>
      </c>
      <c r="AH11" s="86">
        <v>0</v>
      </c>
      <c r="AI11" s="86">
        <f t="shared" ref="AI11:AI19" si="19">SUM(Y11:AH11)</f>
        <v>6235</v>
      </c>
      <c r="AJ11" s="86">
        <f t="shared" ref="AJ11:AJ19" si="20">AJ10</f>
        <v>1200</v>
      </c>
      <c r="AK11" s="86">
        <v>1500</v>
      </c>
      <c r="AL11" s="86">
        <f t="shared" ref="AL11:AL17" si="21">AL10</f>
        <v>400</v>
      </c>
      <c r="AM11" s="86">
        <v>0</v>
      </c>
      <c r="AN11" s="86">
        <f t="shared" ref="AN11:AN19" si="22">$AN$9*D11</f>
        <v>1860</v>
      </c>
      <c r="AO11" s="86">
        <v>3200</v>
      </c>
      <c r="AP11" s="86">
        <f t="shared" ref="AP11:AP19" si="23">D11*$AP$9</f>
        <v>3100</v>
      </c>
      <c r="AQ11" s="86">
        <f t="shared" ref="AQ11:AQ19" si="24">SUM(N11:AO11)-AI11-V11</f>
        <v>120130</v>
      </c>
      <c r="AR11" s="86">
        <f t="shared" ref="AR11:AR19" si="25">AQ11*$AR$9</f>
        <v>24026</v>
      </c>
      <c r="AS11" s="86">
        <f t="shared" ref="AS11:AS19" si="26">SUM(AQ11:AR11)</f>
        <v>144156</v>
      </c>
      <c r="AT11" s="86">
        <f t="shared" ref="AT11:AT19" si="27">(AS11*70%)*$AT$9</f>
        <v>5045.46</v>
      </c>
      <c r="AU11" s="86">
        <f t="shared" ref="AU11:AU19" si="28">(AS11*30%)*$AU$9</f>
        <v>7784.4239999999991</v>
      </c>
      <c r="AV11" s="90">
        <f t="shared" ref="AV11:AV19" si="29">SUM(AS11:AU11)</f>
        <v>156985.88399999999</v>
      </c>
      <c r="AW11" s="76">
        <f t="shared" ref="AW11:AW19" si="30">AV11-F11</f>
        <v>0</v>
      </c>
    </row>
    <row r="12" spans="1:49" ht="20.100000000000001" customHeight="1">
      <c r="A12" s="61">
        <v>3</v>
      </c>
      <c r="B12" s="41">
        <v>6</v>
      </c>
      <c r="C12" s="61">
        <v>620</v>
      </c>
      <c r="D12" s="42">
        <f t="shared" ref="D12:D19" si="31">C12*B12/1000</f>
        <v>3.72</v>
      </c>
      <c r="E12" s="63">
        <f t="shared" si="0"/>
        <v>51801.973548387097</v>
      </c>
      <c r="F12" s="89">
        <v>192703.34160000001</v>
      </c>
      <c r="G12" s="63">
        <v>78000</v>
      </c>
      <c r="H12" s="63">
        <f t="shared" ref="H12:H19" si="32">F12-G12</f>
        <v>114703.34160000001</v>
      </c>
      <c r="I12" s="62">
        <f t="shared" si="1"/>
        <v>18.600000000000001</v>
      </c>
      <c r="J12" s="64">
        <f t="shared" si="2"/>
        <v>1116</v>
      </c>
      <c r="K12" s="64">
        <f t="shared" si="3"/>
        <v>8928</v>
      </c>
      <c r="L12" s="64">
        <v>3</v>
      </c>
      <c r="M12" s="87" t="str">
        <f t="shared" si="4"/>
        <v>3.72 KW</v>
      </c>
      <c r="N12" s="86">
        <f t="shared" si="5"/>
        <v>94488</v>
      </c>
      <c r="O12" s="86">
        <v>24500</v>
      </c>
      <c r="P12" s="90">
        <f t="shared" si="6"/>
        <v>4320</v>
      </c>
      <c r="Q12" s="90">
        <f t="shared" si="7"/>
        <v>3600</v>
      </c>
      <c r="R12" s="90">
        <f t="shared" si="8"/>
        <v>210</v>
      </c>
      <c r="S12" s="90">
        <f t="shared" si="9"/>
        <v>312</v>
      </c>
      <c r="T12" s="90">
        <f t="shared" si="10"/>
        <v>240</v>
      </c>
      <c r="U12" s="90">
        <f t="shared" si="11"/>
        <v>425</v>
      </c>
      <c r="V12" s="86">
        <f t="shared" si="12"/>
        <v>9107</v>
      </c>
      <c r="W12" s="86">
        <f t="shared" ref="W12:W19" si="33">$W$9*(D12*1000)</f>
        <v>1488</v>
      </c>
      <c r="X12" s="86">
        <f t="shared" si="13"/>
        <v>1488</v>
      </c>
      <c r="Y12" s="86">
        <f t="shared" si="14"/>
        <v>975</v>
      </c>
      <c r="Z12" s="86">
        <f t="shared" si="15"/>
        <v>1600</v>
      </c>
      <c r="AA12" s="86">
        <v>0</v>
      </c>
      <c r="AB12" s="86">
        <v>0</v>
      </c>
      <c r="AC12" s="86">
        <v>0</v>
      </c>
      <c r="AD12" s="86">
        <f t="shared" si="16"/>
        <v>2100</v>
      </c>
      <c r="AE12" s="86">
        <v>0</v>
      </c>
      <c r="AF12" s="86">
        <f t="shared" si="17"/>
        <v>360</v>
      </c>
      <c r="AG12" s="86">
        <f t="shared" si="18"/>
        <v>1200</v>
      </c>
      <c r="AH12" s="86">
        <v>0</v>
      </c>
      <c r="AI12" s="86">
        <f t="shared" si="19"/>
        <v>6235</v>
      </c>
      <c r="AJ12" s="86">
        <f t="shared" si="20"/>
        <v>1200</v>
      </c>
      <c r="AK12" s="86">
        <f t="shared" ref="AK12:AK19" si="34">$AK$9*D12*1.5</f>
        <v>2232</v>
      </c>
      <c r="AL12" s="86">
        <f t="shared" si="21"/>
        <v>400</v>
      </c>
      <c r="AM12" s="86">
        <v>0</v>
      </c>
      <c r="AN12" s="86">
        <f t="shared" si="22"/>
        <v>2232</v>
      </c>
      <c r="AO12" s="86">
        <f t="shared" ref="AO12:AO19" si="35">$AO$9*D12</f>
        <v>4092</v>
      </c>
      <c r="AP12" s="86">
        <f t="shared" si="23"/>
        <v>3720</v>
      </c>
      <c r="AQ12" s="86">
        <f t="shared" si="24"/>
        <v>147462</v>
      </c>
      <c r="AR12" s="86">
        <f t="shared" si="25"/>
        <v>29492.400000000001</v>
      </c>
      <c r="AS12" s="86">
        <f t="shared" si="26"/>
        <v>176954.4</v>
      </c>
      <c r="AT12" s="86">
        <f t="shared" si="27"/>
        <v>6193.4039999999995</v>
      </c>
      <c r="AU12" s="86">
        <f t="shared" si="28"/>
        <v>9555.5375999999997</v>
      </c>
      <c r="AV12" s="90">
        <f t="shared" si="29"/>
        <v>192703.34160000001</v>
      </c>
      <c r="AW12" s="76">
        <f t="shared" si="30"/>
        <v>0</v>
      </c>
    </row>
    <row r="13" spans="1:49" ht="20.100000000000001" customHeight="1">
      <c r="A13" s="61">
        <v>4</v>
      </c>
      <c r="B13" s="41">
        <v>7</v>
      </c>
      <c r="C13" s="61">
        <v>620</v>
      </c>
      <c r="D13" s="42">
        <f t="shared" si="31"/>
        <v>4.34</v>
      </c>
      <c r="E13" s="63">
        <f t="shared" si="0"/>
        <v>49737.89198156682</v>
      </c>
      <c r="F13" s="89">
        <v>215862.45119999998</v>
      </c>
      <c r="G13" s="63">
        <v>78000</v>
      </c>
      <c r="H13" s="63">
        <f t="shared" si="32"/>
        <v>137862.45119999998</v>
      </c>
      <c r="I13" s="62">
        <f t="shared" si="1"/>
        <v>21.7</v>
      </c>
      <c r="J13" s="64">
        <f t="shared" si="2"/>
        <v>1302</v>
      </c>
      <c r="K13" s="64">
        <f t="shared" si="3"/>
        <v>10416</v>
      </c>
      <c r="L13" s="64">
        <v>3</v>
      </c>
      <c r="M13" s="87" t="str">
        <f t="shared" si="4"/>
        <v>4.34 KW</v>
      </c>
      <c r="N13" s="86">
        <f t="shared" si="5"/>
        <v>110236</v>
      </c>
      <c r="O13" s="86">
        <v>24500</v>
      </c>
      <c r="P13" s="90">
        <f t="shared" si="6"/>
        <v>4320</v>
      </c>
      <c r="Q13" s="90">
        <f t="shared" si="7"/>
        <v>3600</v>
      </c>
      <c r="R13" s="90">
        <f t="shared" si="8"/>
        <v>210</v>
      </c>
      <c r="S13" s="90">
        <f t="shared" si="9"/>
        <v>364</v>
      </c>
      <c r="T13" s="90">
        <f t="shared" si="10"/>
        <v>240</v>
      </c>
      <c r="U13" s="90">
        <f t="shared" si="11"/>
        <v>425</v>
      </c>
      <c r="V13" s="86">
        <f t="shared" si="12"/>
        <v>9159</v>
      </c>
      <c r="W13" s="86">
        <f t="shared" si="33"/>
        <v>1736</v>
      </c>
      <c r="X13" s="86">
        <f t="shared" si="13"/>
        <v>1736</v>
      </c>
      <c r="Y13" s="86">
        <f t="shared" si="14"/>
        <v>975</v>
      </c>
      <c r="Z13" s="86">
        <f t="shared" si="15"/>
        <v>1600</v>
      </c>
      <c r="AA13" s="86">
        <v>0</v>
      </c>
      <c r="AB13" s="86">
        <v>0</v>
      </c>
      <c r="AC13" s="86">
        <v>0</v>
      </c>
      <c r="AD13" s="86">
        <f t="shared" si="16"/>
        <v>2100</v>
      </c>
      <c r="AE13" s="86">
        <v>0</v>
      </c>
      <c r="AF13" s="86">
        <f t="shared" si="17"/>
        <v>360</v>
      </c>
      <c r="AG13" s="86">
        <f t="shared" si="18"/>
        <v>1200</v>
      </c>
      <c r="AH13" s="86">
        <v>0</v>
      </c>
      <c r="AI13" s="86">
        <f t="shared" si="19"/>
        <v>6235</v>
      </c>
      <c r="AJ13" s="86">
        <f t="shared" si="20"/>
        <v>1200</v>
      </c>
      <c r="AK13" s="86">
        <f t="shared" si="34"/>
        <v>2604</v>
      </c>
      <c r="AL13" s="86">
        <f t="shared" si="21"/>
        <v>400</v>
      </c>
      <c r="AM13" s="86">
        <v>0</v>
      </c>
      <c r="AN13" s="86">
        <f t="shared" si="22"/>
        <v>2604</v>
      </c>
      <c r="AO13" s="86">
        <f t="shared" si="35"/>
        <v>4774</v>
      </c>
      <c r="AP13" s="86">
        <f t="shared" si="23"/>
        <v>4340</v>
      </c>
      <c r="AQ13" s="86">
        <f t="shared" si="24"/>
        <v>165184</v>
      </c>
      <c r="AR13" s="86">
        <f t="shared" si="25"/>
        <v>33036.800000000003</v>
      </c>
      <c r="AS13" s="86">
        <f t="shared" si="26"/>
        <v>198220.79999999999</v>
      </c>
      <c r="AT13" s="86">
        <f t="shared" si="27"/>
        <v>6937.7279999999992</v>
      </c>
      <c r="AU13" s="86">
        <f t="shared" si="28"/>
        <v>10703.923199999997</v>
      </c>
      <c r="AV13" s="90">
        <f t="shared" si="29"/>
        <v>215862.45119999998</v>
      </c>
      <c r="AW13" s="76">
        <f t="shared" si="30"/>
        <v>0</v>
      </c>
    </row>
    <row r="14" spans="1:49" ht="20.100000000000001" customHeight="1">
      <c r="A14" s="61">
        <v>5</v>
      </c>
      <c r="B14" s="41">
        <v>8</v>
      </c>
      <c r="C14" s="61">
        <v>620</v>
      </c>
      <c r="D14" s="42">
        <f t="shared" si="31"/>
        <v>4.96</v>
      </c>
      <c r="E14" s="63">
        <f t="shared" si="0"/>
        <v>50343.679596774193</v>
      </c>
      <c r="F14" s="89">
        <v>249704.6508</v>
      </c>
      <c r="G14" s="63">
        <v>78000</v>
      </c>
      <c r="H14" s="63">
        <f t="shared" si="32"/>
        <v>171704.6508</v>
      </c>
      <c r="I14" s="62">
        <f t="shared" si="1"/>
        <v>24.8</v>
      </c>
      <c r="J14" s="64">
        <f t="shared" si="2"/>
        <v>1488</v>
      </c>
      <c r="K14" s="64">
        <f t="shared" si="3"/>
        <v>11904</v>
      </c>
      <c r="L14" s="64">
        <v>3</v>
      </c>
      <c r="M14" s="87" t="str">
        <f t="shared" si="4"/>
        <v>4.96 KW</v>
      </c>
      <c r="N14" s="86">
        <f t="shared" si="5"/>
        <v>125984</v>
      </c>
      <c r="O14" s="86">
        <v>29500</v>
      </c>
      <c r="P14" s="90">
        <f t="shared" si="6"/>
        <v>4320</v>
      </c>
      <c r="Q14" s="90">
        <f t="shared" si="7"/>
        <v>3600</v>
      </c>
      <c r="R14" s="90">
        <f t="shared" si="8"/>
        <v>210</v>
      </c>
      <c r="S14" s="90">
        <f t="shared" si="9"/>
        <v>416</v>
      </c>
      <c r="T14" s="90">
        <f t="shared" si="10"/>
        <v>240</v>
      </c>
      <c r="U14" s="90">
        <f t="shared" si="11"/>
        <v>425</v>
      </c>
      <c r="V14" s="86">
        <f t="shared" si="12"/>
        <v>9211</v>
      </c>
      <c r="W14" s="86">
        <f t="shared" si="33"/>
        <v>1984</v>
      </c>
      <c r="X14" s="86">
        <f t="shared" si="13"/>
        <v>1984</v>
      </c>
      <c r="Y14" s="86">
        <v>0</v>
      </c>
      <c r="Z14" s="86">
        <v>0</v>
      </c>
      <c r="AA14" s="86">
        <f>$H$23*$AA$9</f>
        <v>1350</v>
      </c>
      <c r="AB14" s="86">
        <f>$H$24*$AB$9</f>
        <v>2675</v>
      </c>
      <c r="AC14" s="86">
        <v>0</v>
      </c>
      <c r="AD14" s="86">
        <f t="shared" ref="AD14:AD19" si="36">$D$30*$AD$9</f>
        <v>0</v>
      </c>
      <c r="AE14" s="86">
        <f>$H$25*$AE$9</f>
        <v>3150</v>
      </c>
      <c r="AF14" s="86">
        <f>$H$26*$AF$9</f>
        <v>360</v>
      </c>
      <c r="AG14" s="86">
        <v>0</v>
      </c>
      <c r="AH14" s="86">
        <f>$H$27*$AH$9</f>
        <v>1875</v>
      </c>
      <c r="AI14" s="86">
        <f t="shared" si="19"/>
        <v>9410</v>
      </c>
      <c r="AJ14" s="86">
        <f t="shared" si="20"/>
        <v>1200</v>
      </c>
      <c r="AK14" s="86">
        <f t="shared" si="34"/>
        <v>2976</v>
      </c>
      <c r="AL14" s="86">
        <f t="shared" si="21"/>
        <v>400</v>
      </c>
      <c r="AM14" s="86">
        <v>0</v>
      </c>
      <c r="AN14" s="86">
        <f t="shared" si="22"/>
        <v>2976</v>
      </c>
      <c r="AO14" s="86">
        <f t="shared" si="35"/>
        <v>5456</v>
      </c>
      <c r="AP14" s="86">
        <f t="shared" si="23"/>
        <v>4960</v>
      </c>
      <c r="AQ14" s="86">
        <f t="shared" si="24"/>
        <v>191081</v>
      </c>
      <c r="AR14" s="86">
        <f t="shared" si="25"/>
        <v>38216.200000000004</v>
      </c>
      <c r="AS14" s="86">
        <f t="shared" si="26"/>
        <v>229297.2</v>
      </c>
      <c r="AT14" s="86">
        <f t="shared" si="27"/>
        <v>8025.402000000001</v>
      </c>
      <c r="AU14" s="86">
        <f t="shared" si="28"/>
        <v>12382.0488</v>
      </c>
      <c r="AV14" s="90">
        <f t="shared" si="29"/>
        <v>249704.6508</v>
      </c>
      <c r="AW14" s="76">
        <f t="shared" si="30"/>
        <v>0</v>
      </c>
    </row>
    <row r="15" spans="1:49" ht="20.100000000000001" customHeight="1">
      <c r="A15" s="61">
        <v>6</v>
      </c>
      <c r="B15" s="41">
        <v>9</v>
      </c>
      <c r="C15" s="61">
        <v>620</v>
      </c>
      <c r="D15" s="42">
        <f t="shared" si="31"/>
        <v>5.58</v>
      </c>
      <c r="E15" s="63">
        <f t="shared" si="0"/>
        <v>49553.715483870961</v>
      </c>
      <c r="F15" s="89">
        <v>276509.73239999998</v>
      </c>
      <c r="G15" s="63">
        <v>78000</v>
      </c>
      <c r="H15" s="63">
        <f t="shared" si="32"/>
        <v>198509.73239999998</v>
      </c>
      <c r="I15" s="62">
        <f t="shared" si="1"/>
        <v>27.9</v>
      </c>
      <c r="J15" s="64">
        <f t="shared" si="2"/>
        <v>1674</v>
      </c>
      <c r="K15" s="64">
        <f t="shared" si="3"/>
        <v>13392</v>
      </c>
      <c r="L15" s="64">
        <v>4</v>
      </c>
      <c r="M15" s="87" t="str">
        <f t="shared" si="4"/>
        <v>5.58 KW</v>
      </c>
      <c r="N15" s="86">
        <f t="shared" si="5"/>
        <v>141732</v>
      </c>
      <c r="O15" s="86">
        <v>29500</v>
      </c>
      <c r="P15" s="90">
        <f t="shared" si="6"/>
        <v>5760</v>
      </c>
      <c r="Q15" s="90">
        <f t="shared" si="7"/>
        <v>4800</v>
      </c>
      <c r="R15" s="90">
        <f t="shared" si="8"/>
        <v>280</v>
      </c>
      <c r="S15" s="90">
        <f t="shared" si="9"/>
        <v>468</v>
      </c>
      <c r="T15" s="90">
        <f t="shared" si="10"/>
        <v>320</v>
      </c>
      <c r="U15" s="90">
        <f t="shared" si="11"/>
        <v>425</v>
      </c>
      <c r="V15" s="86">
        <f t="shared" si="12"/>
        <v>12053</v>
      </c>
      <c r="W15" s="86">
        <f t="shared" si="33"/>
        <v>2232</v>
      </c>
      <c r="X15" s="86">
        <f t="shared" si="13"/>
        <v>2232</v>
      </c>
      <c r="Y15" s="86">
        <v>0</v>
      </c>
      <c r="Z15" s="86">
        <v>0</v>
      </c>
      <c r="AA15" s="86">
        <f t="shared" ref="AA15:AA16" si="37">$H$23*$AA$9</f>
        <v>1350</v>
      </c>
      <c r="AB15" s="86">
        <f t="shared" ref="AB15:AB16" si="38">$H$24*$AB$9</f>
        <v>2675</v>
      </c>
      <c r="AC15" s="86">
        <v>0</v>
      </c>
      <c r="AD15" s="86">
        <f t="shared" si="36"/>
        <v>0</v>
      </c>
      <c r="AE15" s="86">
        <f t="shared" ref="AE15:AE16" si="39">$H$25*$AE$9</f>
        <v>3150</v>
      </c>
      <c r="AF15" s="86">
        <f t="shared" ref="AF15:AF16" si="40">$H$26*$AF$9</f>
        <v>360</v>
      </c>
      <c r="AG15" s="86">
        <v>0</v>
      </c>
      <c r="AH15" s="86">
        <f t="shared" ref="AH15:AH16" si="41">$H$27*$AH$9</f>
        <v>1875</v>
      </c>
      <c r="AI15" s="86">
        <f t="shared" si="19"/>
        <v>9410</v>
      </c>
      <c r="AJ15" s="86">
        <f t="shared" si="20"/>
        <v>1200</v>
      </c>
      <c r="AK15" s="86">
        <f t="shared" si="34"/>
        <v>3348</v>
      </c>
      <c r="AL15" s="86">
        <f t="shared" si="21"/>
        <v>400</v>
      </c>
      <c r="AM15" s="86">
        <v>0</v>
      </c>
      <c r="AN15" s="86">
        <f t="shared" si="22"/>
        <v>3348</v>
      </c>
      <c r="AO15" s="86">
        <f t="shared" si="35"/>
        <v>6138</v>
      </c>
      <c r="AP15" s="86">
        <f t="shared" si="23"/>
        <v>5580</v>
      </c>
      <c r="AQ15" s="86">
        <f t="shared" si="24"/>
        <v>211593</v>
      </c>
      <c r="AR15" s="86">
        <f t="shared" si="25"/>
        <v>42318.600000000006</v>
      </c>
      <c r="AS15" s="86">
        <f t="shared" si="26"/>
        <v>253911.6</v>
      </c>
      <c r="AT15" s="86">
        <f t="shared" si="27"/>
        <v>8886.9060000000009</v>
      </c>
      <c r="AU15" s="86">
        <f t="shared" si="28"/>
        <v>13711.2264</v>
      </c>
      <c r="AV15" s="90">
        <f t="shared" si="29"/>
        <v>276509.73239999998</v>
      </c>
      <c r="AW15" s="76">
        <f t="shared" si="30"/>
        <v>0</v>
      </c>
    </row>
    <row r="16" spans="1:49" ht="20.100000000000001" customHeight="1">
      <c r="A16" s="61">
        <v>7</v>
      </c>
      <c r="B16" s="41">
        <v>10</v>
      </c>
      <c r="C16" s="61">
        <v>620</v>
      </c>
      <c r="D16" s="42">
        <f t="shared" si="31"/>
        <v>6.2</v>
      </c>
      <c r="E16" s="63">
        <f t="shared" si="0"/>
        <v>48439.071290322572</v>
      </c>
      <c r="F16" s="89">
        <v>300322.24199999997</v>
      </c>
      <c r="G16" s="63">
        <v>78000</v>
      </c>
      <c r="H16" s="63">
        <f t="shared" si="32"/>
        <v>222322.24199999997</v>
      </c>
      <c r="I16" s="62">
        <f t="shared" si="1"/>
        <v>31</v>
      </c>
      <c r="J16" s="64">
        <f t="shared" si="2"/>
        <v>1860</v>
      </c>
      <c r="K16" s="64">
        <f t="shared" si="3"/>
        <v>14880</v>
      </c>
      <c r="L16" s="64">
        <v>4</v>
      </c>
      <c r="M16" s="87" t="str">
        <f t="shared" si="4"/>
        <v>6.2 KW</v>
      </c>
      <c r="N16" s="86">
        <f t="shared" si="5"/>
        <v>157480</v>
      </c>
      <c r="O16" s="86">
        <v>30000</v>
      </c>
      <c r="P16" s="90">
        <f t="shared" si="6"/>
        <v>5760</v>
      </c>
      <c r="Q16" s="90">
        <f t="shared" si="7"/>
        <v>4800</v>
      </c>
      <c r="R16" s="90">
        <f t="shared" si="8"/>
        <v>280</v>
      </c>
      <c r="S16" s="90">
        <f t="shared" si="9"/>
        <v>520</v>
      </c>
      <c r="T16" s="90">
        <f t="shared" si="10"/>
        <v>320</v>
      </c>
      <c r="U16" s="90">
        <f t="shared" si="11"/>
        <v>425</v>
      </c>
      <c r="V16" s="86">
        <f t="shared" si="12"/>
        <v>12105</v>
      </c>
      <c r="W16" s="86">
        <f t="shared" si="33"/>
        <v>2480</v>
      </c>
      <c r="X16" s="86">
        <f t="shared" si="13"/>
        <v>2480</v>
      </c>
      <c r="Y16" s="86">
        <v>0</v>
      </c>
      <c r="Z16" s="86">
        <v>0</v>
      </c>
      <c r="AA16" s="86">
        <f t="shared" si="37"/>
        <v>1350</v>
      </c>
      <c r="AB16" s="86">
        <f t="shared" si="38"/>
        <v>2675</v>
      </c>
      <c r="AC16" s="86">
        <v>0</v>
      </c>
      <c r="AD16" s="86">
        <f t="shared" si="36"/>
        <v>0</v>
      </c>
      <c r="AE16" s="86">
        <f t="shared" si="39"/>
        <v>3150</v>
      </c>
      <c r="AF16" s="86">
        <f t="shared" si="40"/>
        <v>360</v>
      </c>
      <c r="AG16" s="86">
        <v>0</v>
      </c>
      <c r="AH16" s="86">
        <f t="shared" si="41"/>
        <v>1875</v>
      </c>
      <c r="AI16" s="86">
        <f t="shared" si="19"/>
        <v>9410</v>
      </c>
      <c r="AJ16" s="86">
        <f t="shared" si="20"/>
        <v>1200</v>
      </c>
      <c r="AK16" s="86">
        <f t="shared" si="34"/>
        <v>3720</v>
      </c>
      <c r="AL16" s="86">
        <f t="shared" si="21"/>
        <v>400</v>
      </c>
      <c r="AM16" s="86">
        <v>0</v>
      </c>
      <c r="AN16" s="86">
        <f t="shared" si="22"/>
        <v>3720</v>
      </c>
      <c r="AO16" s="86">
        <f t="shared" si="35"/>
        <v>6820</v>
      </c>
      <c r="AP16" s="86">
        <f t="shared" si="23"/>
        <v>6200</v>
      </c>
      <c r="AQ16" s="86">
        <f t="shared" si="24"/>
        <v>229815</v>
      </c>
      <c r="AR16" s="86">
        <f t="shared" si="25"/>
        <v>45963</v>
      </c>
      <c r="AS16" s="86">
        <f t="shared" si="26"/>
        <v>275778</v>
      </c>
      <c r="AT16" s="86">
        <f t="shared" si="27"/>
        <v>9652.23</v>
      </c>
      <c r="AU16" s="86">
        <f t="shared" si="28"/>
        <v>14892.011999999999</v>
      </c>
      <c r="AV16" s="90">
        <f t="shared" si="29"/>
        <v>300322.24199999997</v>
      </c>
      <c r="AW16" s="76">
        <f t="shared" si="30"/>
        <v>0</v>
      </c>
    </row>
    <row r="17" spans="1:49" ht="20.100000000000001" customHeight="1">
      <c r="A17" s="61">
        <v>8</v>
      </c>
      <c r="B17" s="41">
        <v>12</v>
      </c>
      <c r="C17" s="61">
        <v>620</v>
      </c>
      <c r="D17" s="42">
        <f t="shared" si="31"/>
        <v>7.44</v>
      </c>
      <c r="E17" s="63">
        <f t="shared" si="0"/>
        <v>47650.60016129032</v>
      </c>
      <c r="F17" s="89">
        <v>354520.46519999998</v>
      </c>
      <c r="G17" s="63">
        <v>78000</v>
      </c>
      <c r="H17" s="63">
        <f t="shared" si="32"/>
        <v>276520.46519999998</v>
      </c>
      <c r="I17" s="62">
        <f t="shared" si="1"/>
        <v>37.200000000000003</v>
      </c>
      <c r="J17" s="64">
        <f t="shared" si="2"/>
        <v>2232</v>
      </c>
      <c r="K17" s="64">
        <f t="shared" si="3"/>
        <v>17856</v>
      </c>
      <c r="L17" s="64">
        <v>6</v>
      </c>
      <c r="M17" s="87" t="str">
        <f t="shared" si="4"/>
        <v>7.44 KW</v>
      </c>
      <c r="N17" s="86">
        <f t="shared" si="5"/>
        <v>188976</v>
      </c>
      <c r="O17" s="86">
        <v>30500</v>
      </c>
      <c r="P17" s="90">
        <f t="shared" si="6"/>
        <v>8640</v>
      </c>
      <c r="Q17" s="90">
        <f t="shared" si="7"/>
        <v>7200</v>
      </c>
      <c r="R17" s="90">
        <f t="shared" si="8"/>
        <v>420</v>
      </c>
      <c r="S17" s="90">
        <f t="shared" si="9"/>
        <v>624</v>
      </c>
      <c r="T17" s="90">
        <f t="shared" si="10"/>
        <v>480</v>
      </c>
      <c r="U17" s="90">
        <f t="shared" si="11"/>
        <v>425</v>
      </c>
      <c r="V17" s="86">
        <f t="shared" si="12"/>
        <v>17789</v>
      </c>
      <c r="W17" s="86">
        <f t="shared" si="33"/>
        <v>2976</v>
      </c>
      <c r="X17" s="86">
        <f t="shared" si="13"/>
        <v>2976</v>
      </c>
      <c r="Y17" s="86">
        <v>0</v>
      </c>
      <c r="Z17" s="86">
        <v>0</v>
      </c>
      <c r="AA17" s="86">
        <v>0</v>
      </c>
      <c r="AB17" s="86">
        <v>0</v>
      </c>
      <c r="AC17" s="86">
        <f>$L$23*$AC$9</f>
        <v>3600</v>
      </c>
      <c r="AD17" s="86">
        <f t="shared" si="36"/>
        <v>0</v>
      </c>
      <c r="AE17" s="86">
        <f>$L$25*$AE$9</f>
        <v>3150</v>
      </c>
      <c r="AF17" s="86">
        <f>$L$26*$AF$9</f>
        <v>360</v>
      </c>
      <c r="AG17" s="86">
        <v>0</v>
      </c>
      <c r="AH17" s="86">
        <f>$L$27*$AH$9</f>
        <v>2250</v>
      </c>
      <c r="AI17" s="86">
        <f t="shared" si="19"/>
        <v>9360</v>
      </c>
      <c r="AJ17" s="86">
        <f t="shared" si="20"/>
        <v>1200</v>
      </c>
      <c r="AK17" s="86">
        <f t="shared" si="34"/>
        <v>4464</v>
      </c>
      <c r="AL17" s="86">
        <f t="shared" si="21"/>
        <v>400</v>
      </c>
      <c r="AM17" s="86">
        <v>0</v>
      </c>
      <c r="AN17" s="86">
        <f t="shared" si="22"/>
        <v>4464</v>
      </c>
      <c r="AO17" s="86">
        <f t="shared" si="35"/>
        <v>8184</v>
      </c>
      <c r="AP17" s="86">
        <f t="shared" si="23"/>
        <v>7440</v>
      </c>
      <c r="AQ17" s="86">
        <f t="shared" si="24"/>
        <v>271289</v>
      </c>
      <c r="AR17" s="86">
        <f t="shared" si="25"/>
        <v>54257.8</v>
      </c>
      <c r="AS17" s="86">
        <f t="shared" si="26"/>
        <v>325546.8</v>
      </c>
      <c r="AT17" s="86">
        <f t="shared" si="27"/>
        <v>11394.137999999999</v>
      </c>
      <c r="AU17" s="86">
        <f t="shared" si="28"/>
        <v>17579.527199999997</v>
      </c>
      <c r="AV17" s="90">
        <f t="shared" si="29"/>
        <v>354520.46519999998</v>
      </c>
      <c r="AW17" s="76">
        <f t="shared" si="30"/>
        <v>0</v>
      </c>
    </row>
    <row r="18" spans="1:49" ht="20.100000000000001" customHeight="1">
      <c r="A18" s="61">
        <v>9</v>
      </c>
      <c r="B18" s="41">
        <v>14</v>
      </c>
      <c r="C18" s="61">
        <v>620</v>
      </c>
      <c r="D18" s="42">
        <f t="shared" si="31"/>
        <v>8.68</v>
      </c>
      <c r="E18" s="63">
        <f t="shared" si="0"/>
        <v>49461.627235023036</v>
      </c>
      <c r="F18" s="89">
        <v>429326.92439999996</v>
      </c>
      <c r="G18" s="63">
        <v>78000</v>
      </c>
      <c r="H18" s="63">
        <f t="shared" si="32"/>
        <v>351326.92439999996</v>
      </c>
      <c r="I18" s="62">
        <f t="shared" si="1"/>
        <v>43.4</v>
      </c>
      <c r="J18" s="64">
        <f t="shared" si="2"/>
        <v>2604</v>
      </c>
      <c r="K18" s="64">
        <f t="shared" si="3"/>
        <v>20832</v>
      </c>
      <c r="L18" s="64">
        <v>6</v>
      </c>
      <c r="M18" s="87" t="str">
        <f t="shared" si="4"/>
        <v>8.68 KW</v>
      </c>
      <c r="N18" s="86">
        <f t="shared" si="5"/>
        <v>220472</v>
      </c>
      <c r="O18" s="86">
        <v>52000</v>
      </c>
      <c r="P18" s="90">
        <f t="shared" si="6"/>
        <v>8640</v>
      </c>
      <c r="Q18" s="90">
        <f t="shared" si="7"/>
        <v>7200</v>
      </c>
      <c r="R18" s="90">
        <f t="shared" si="8"/>
        <v>420</v>
      </c>
      <c r="S18" s="90">
        <f t="shared" si="9"/>
        <v>728</v>
      </c>
      <c r="T18" s="90">
        <f t="shared" si="10"/>
        <v>480</v>
      </c>
      <c r="U18" s="90">
        <f t="shared" si="11"/>
        <v>425</v>
      </c>
      <c r="V18" s="86">
        <f t="shared" si="12"/>
        <v>17893</v>
      </c>
      <c r="W18" s="86">
        <f>$W$9*(D18*1000)</f>
        <v>3472</v>
      </c>
      <c r="X18" s="86">
        <f t="shared" si="13"/>
        <v>3472</v>
      </c>
      <c r="Y18" s="86">
        <v>0</v>
      </c>
      <c r="Z18" s="86">
        <v>0</v>
      </c>
      <c r="AA18" s="86">
        <v>0</v>
      </c>
      <c r="AB18" s="86">
        <v>0</v>
      </c>
      <c r="AC18" s="86">
        <f t="shared" ref="AC18:AC19" si="42">$L$23*$AC$9</f>
        <v>3600</v>
      </c>
      <c r="AD18" s="86">
        <f t="shared" si="36"/>
        <v>0</v>
      </c>
      <c r="AE18" s="86">
        <f t="shared" ref="AE18:AE19" si="43">$L$25*$AE$9</f>
        <v>3150</v>
      </c>
      <c r="AF18" s="86">
        <f t="shared" ref="AF18:AF19" si="44">$L$26*$AF$9</f>
        <v>360</v>
      </c>
      <c r="AG18" s="86">
        <v>0</v>
      </c>
      <c r="AH18" s="86">
        <f t="shared" ref="AH18:AH19" si="45">$L$27*$AH$9</f>
        <v>2250</v>
      </c>
      <c r="AI18" s="86">
        <f t="shared" si="19"/>
        <v>9360</v>
      </c>
      <c r="AJ18" s="86">
        <f t="shared" si="20"/>
        <v>1200</v>
      </c>
      <c r="AK18" s="86">
        <f t="shared" si="34"/>
        <v>5208</v>
      </c>
      <c r="AL18" s="86">
        <v>700</v>
      </c>
      <c r="AM18" s="86">
        <v>0</v>
      </c>
      <c r="AN18" s="86">
        <f t="shared" si="22"/>
        <v>5208</v>
      </c>
      <c r="AO18" s="86">
        <f t="shared" si="35"/>
        <v>9548</v>
      </c>
      <c r="AP18" s="86">
        <f t="shared" si="23"/>
        <v>8680</v>
      </c>
      <c r="AQ18" s="86">
        <f t="shared" si="24"/>
        <v>328533</v>
      </c>
      <c r="AR18" s="86">
        <f t="shared" si="25"/>
        <v>65706.600000000006</v>
      </c>
      <c r="AS18" s="86">
        <f t="shared" si="26"/>
        <v>394239.6</v>
      </c>
      <c r="AT18" s="86">
        <f t="shared" si="27"/>
        <v>13798.385999999999</v>
      </c>
      <c r="AU18" s="86">
        <f t="shared" si="28"/>
        <v>21288.938399999999</v>
      </c>
      <c r="AV18" s="90">
        <f t="shared" si="29"/>
        <v>429326.92439999996</v>
      </c>
      <c r="AW18" s="76">
        <f t="shared" si="30"/>
        <v>0</v>
      </c>
    </row>
    <row r="19" spans="1:49" ht="20.100000000000001" customHeight="1" thickBot="1">
      <c r="A19" s="61">
        <v>10</v>
      </c>
      <c r="B19" s="41">
        <v>16</v>
      </c>
      <c r="C19" s="61">
        <v>620</v>
      </c>
      <c r="D19" s="42">
        <f t="shared" si="31"/>
        <v>9.92</v>
      </c>
      <c r="E19" s="63">
        <f t="shared" si="0"/>
        <v>48579.104395161288</v>
      </c>
      <c r="F19" s="89">
        <v>481904.7156</v>
      </c>
      <c r="G19" s="63">
        <v>78000</v>
      </c>
      <c r="H19" s="63">
        <f t="shared" si="32"/>
        <v>403904.7156</v>
      </c>
      <c r="I19" s="62">
        <f t="shared" si="1"/>
        <v>49.6</v>
      </c>
      <c r="J19" s="64">
        <f t="shared" si="2"/>
        <v>2976</v>
      </c>
      <c r="K19" s="64">
        <f t="shared" si="3"/>
        <v>23808</v>
      </c>
      <c r="L19" s="64">
        <v>7</v>
      </c>
      <c r="M19" s="87" t="str">
        <f t="shared" si="4"/>
        <v>9.92 KW</v>
      </c>
      <c r="N19" s="86">
        <f t="shared" si="5"/>
        <v>251968</v>
      </c>
      <c r="O19" s="86">
        <v>54000</v>
      </c>
      <c r="P19" s="90">
        <f t="shared" si="6"/>
        <v>10080</v>
      </c>
      <c r="Q19" s="90">
        <f t="shared" si="7"/>
        <v>8400</v>
      </c>
      <c r="R19" s="90">
        <f t="shared" si="8"/>
        <v>490</v>
      </c>
      <c r="S19" s="90">
        <f t="shared" si="9"/>
        <v>832</v>
      </c>
      <c r="T19" s="90">
        <f t="shared" si="10"/>
        <v>560</v>
      </c>
      <c r="U19" s="90">
        <f t="shared" si="11"/>
        <v>425</v>
      </c>
      <c r="V19" s="86">
        <f t="shared" si="12"/>
        <v>20787</v>
      </c>
      <c r="W19" s="86">
        <f t="shared" si="33"/>
        <v>3968</v>
      </c>
      <c r="X19" s="86">
        <f t="shared" si="13"/>
        <v>3968</v>
      </c>
      <c r="Y19" s="86">
        <v>0</v>
      </c>
      <c r="Z19" s="86">
        <v>0</v>
      </c>
      <c r="AA19" s="86">
        <v>0</v>
      </c>
      <c r="AB19" s="86">
        <v>0</v>
      </c>
      <c r="AC19" s="86">
        <f t="shared" si="42"/>
        <v>3600</v>
      </c>
      <c r="AD19" s="86">
        <f t="shared" si="36"/>
        <v>0</v>
      </c>
      <c r="AE19" s="86">
        <f t="shared" si="43"/>
        <v>3150</v>
      </c>
      <c r="AF19" s="86">
        <f t="shared" si="44"/>
        <v>360</v>
      </c>
      <c r="AG19" s="86">
        <v>0</v>
      </c>
      <c r="AH19" s="86">
        <f t="shared" si="45"/>
        <v>2250</v>
      </c>
      <c r="AI19" s="86">
        <f t="shared" si="19"/>
        <v>9360</v>
      </c>
      <c r="AJ19" s="86">
        <f t="shared" si="20"/>
        <v>1200</v>
      </c>
      <c r="AK19" s="86">
        <f t="shared" si="34"/>
        <v>5952</v>
      </c>
      <c r="AL19" s="86">
        <v>700</v>
      </c>
      <c r="AM19" s="86">
        <v>0</v>
      </c>
      <c r="AN19" s="86">
        <f t="shared" si="22"/>
        <v>5952</v>
      </c>
      <c r="AO19" s="86">
        <f t="shared" si="35"/>
        <v>10912</v>
      </c>
      <c r="AP19" s="86">
        <f t="shared" si="23"/>
        <v>9920</v>
      </c>
      <c r="AQ19" s="86">
        <f t="shared" si="24"/>
        <v>368767</v>
      </c>
      <c r="AR19" s="86">
        <f t="shared" si="25"/>
        <v>73753.400000000009</v>
      </c>
      <c r="AS19" s="86">
        <f t="shared" si="26"/>
        <v>442520.4</v>
      </c>
      <c r="AT19" s="86">
        <f t="shared" si="27"/>
        <v>15488.214</v>
      </c>
      <c r="AU19" s="86">
        <f t="shared" si="28"/>
        <v>23896.101599999998</v>
      </c>
      <c r="AV19" s="90">
        <f t="shared" si="29"/>
        <v>481904.7156</v>
      </c>
      <c r="AW19" s="76">
        <f t="shared" si="30"/>
        <v>0</v>
      </c>
    </row>
    <row r="20" spans="1:49" ht="20.100000000000001" customHeight="1" thickTop="1" thickBot="1">
      <c r="A20" s="245" t="s">
        <v>167</v>
      </c>
      <c r="B20" s="246"/>
      <c r="C20" s="246"/>
      <c r="D20" s="246"/>
      <c r="E20" s="246"/>
      <c r="F20" s="246"/>
      <c r="G20" s="246"/>
      <c r="H20" s="246"/>
      <c r="I20" s="246"/>
      <c r="J20" s="246"/>
      <c r="K20" s="246"/>
      <c r="L20" s="247"/>
      <c r="M20" s="289" t="s">
        <v>269</v>
      </c>
      <c r="N20" s="290"/>
      <c r="O20" s="75">
        <v>15800</v>
      </c>
    </row>
    <row r="21" spans="1:49" ht="20.100000000000001" customHeight="1" thickTop="1" thickBot="1">
      <c r="A21" s="262" t="s">
        <v>251</v>
      </c>
      <c r="B21" s="263"/>
      <c r="C21" s="263"/>
      <c r="D21" s="264"/>
      <c r="E21" s="262" t="s">
        <v>252</v>
      </c>
      <c r="F21" s="263"/>
      <c r="G21" s="263"/>
      <c r="H21" s="264"/>
      <c r="I21" s="262" t="s">
        <v>253</v>
      </c>
      <c r="J21" s="263"/>
      <c r="K21" s="263"/>
      <c r="L21" s="264"/>
      <c r="M21" s="289" t="s">
        <v>270</v>
      </c>
      <c r="N21" s="290"/>
      <c r="O21" s="75">
        <v>15800</v>
      </c>
      <c r="Q21" s="76"/>
      <c r="W21" s="245" t="s">
        <v>167</v>
      </c>
      <c r="X21" s="246"/>
      <c r="Y21" s="246"/>
      <c r="Z21" s="246"/>
      <c r="AA21" s="246"/>
      <c r="AB21" s="246"/>
      <c r="AC21" s="246"/>
      <c r="AD21" s="246"/>
      <c r="AE21" s="246"/>
      <c r="AF21" s="246"/>
      <c r="AG21" s="246"/>
      <c r="AH21" s="247"/>
    </row>
    <row r="22" spans="1:49" ht="20.100000000000001" customHeight="1" thickTop="1">
      <c r="A22" s="248" t="s">
        <v>258</v>
      </c>
      <c r="B22" s="249"/>
      <c r="C22" s="249"/>
      <c r="D22" s="74" t="s">
        <v>338</v>
      </c>
      <c r="E22" s="248" t="s">
        <v>258</v>
      </c>
      <c r="F22" s="249"/>
      <c r="G22" s="249"/>
      <c r="H22" s="74" t="s">
        <v>338</v>
      </c>
      <c r="I22" s="248" t="s">
        <v>258</v>
      </c>
      <c r="J22" s="249"/>
      <c r="K22" s="249"/>
      <c r="L22" s="74" t="s">
        <v>338</v>
      </c>
      <c r="M22" s="289" t="s">
        <v>271</v>
      </c>
      <c r="N22" s="290"/>
      <c r="O22" s="75">
        <v>24500</v>
      </c>
      <c r="W22" s="262" t="s">
        <v>251</v>
      </c>
      <c r="X22" s="263"/>
      <c r="Y22" s="263"/>
      <c r="Z22" s="264"/>
      <c r="AA22" s="262" t="s">
        <v>252</v>
      </c>
      <c r="AB22" s="263"/>
      <c r="AC22" s="263"/>
      <c r="AD22" s="264"/>
      <c r="AE22" s="262" t="s">
        <v>253</v>
      </c>
      <c r="AF22" s="263"/>
      <c r="AG22" s="263"/>
      <c r="AH22" s="264"/>
    </row>
    <row r="23" spans="1:49" ht="20.100000000000001" customHeight="1">
      <c r="A23" s="256" t="s">
        <v>206</v>
      </c>
      <c r="B23" s="257"/>
      <c r="C23" s="257"/>
      <c r="D23" s="93">
        <v>15</v>
      </c>
      <c r="E23" s="256" t="s">
        <v>214</v>
      </c>
      <c r="F23" s="257"/>
      <c r="G23" s="257"/>
      <c r="H23" s="93">
        <v>15</v>
      </c>
      <c r="I23" s="256" t="s">
        <v>369</v>
      </c>
      <c r="J23" s="257"/>
      <c r="K23" s="257"/>
      <c r="L23" s="93">
        <v>18</v>
      </c>
      <c r="M23" s="289" t="s">
        <v>272</v>
      </c>
      <c r="N23" s="290"/>
      <c r="O23" s="75">
        <v>29000</v>
      </c>
      <c r="W23" s="248" t="s">
        <v>258</v>
      </c>
      <c r="X23" s="249"/>
      <c r="Y23" s="249"/>
      <c r="Z23" s="74" t="s">
        <v>338</v>
      </c>
      <c r="AA23" s="248" t="s">
        <v>258</v>
      </c>
      <c r="AB23" s="249"/>
      <c r="AC23" s="249"/>
      <c r="AD23" s="74" t="s">
        <v>338</v>
      </c>
      <c r="AE23" s="248" t="s">
        <v>258</v>
      </c>
      <c r="AF23" s="249"/>
      <c r="AG23" s="249"/>
      <c r="AH23" s="74" t="s">
        <v>338</v>
      </c>
    </row>
    <row r="24" spans="1:49" ht="24.95" customHeight="1">
      <c r="A24" s="256" t="s">
        <v>205</v>
      </c>
      <c r="B24" s="257"/>
      <c r="C24" s="257"/>
      <c r="D24" s="93">
        <v>40</v>
      </c>
      <c r="E24" s="256" t="s">
        <v>215</v>
      </c>
      <c r="F24" s="257"/>
      <c r="G24" s="257"/>
      <c r="H24" s="93">
        <v>50</v>
      </c>
      <c r="I24" s="256" t="s">
        <v>215</v>
      </c>
      <c r="J24" s="257"/>
      <c r="K24" s="257"/>
      <c r="L24" s="93">
        <v>70</v>
      </c>
      <c r="M24" s="289" t="s">
        <v>273</v>
      </c>
      <c r="N24" s="290"/>
      <c r="O24" s="75">
        <v>30000</v>
      </c>
      <c r="W24" s="256" t="s">
        <v>206</v>
      </c>
      <c r="X24" s="257"/>
      <c r="Y24" s="257"/>
      <c r="Z24" s="93" t="s">
        <v>354</v>
      </c>
      <c r="AA24" s="256" t="s">
        <v>214</v>
      </c>
      <c r="AB24" s="257"/>
      <c r="AC24" s="257"/>
      <c r="AD24" s="93" t="s">
        <v>359</v>
      </c>
      <c r="AE24" s="256" t="s">
        <v>220</v>
      </c>
      <c r="AF24" s="257"/>
      <c r="AG24" s="257"/>
      <c r="AH24" s="93" t="s">
        <v>364</v>
      </c>
    </row>
    <row r="25" spans="1:49" ht="20.100000000000001" customHeight="1">
      <c r="A25" s="256" t="s">
        <v>207</v>
      </c>
      <c r="B25" s="257"/>
      <c r="C25" s="257"/>
      <c r="D25" s="93">
        <v>70</v>
      </c>
      <c r="E25" s="256" t="s">
        <v>216</v>
      </c>
      <c r="F25" s="257"/>
      <c r="G25" s="257"/>
      <c r="H25" s="93">
        <v>70</v>
      </c>
      <c r="I25" s="256" t="s">
        <v>216</v>
      </c>
      <c r="J25" s="257"/>
      <c r="K25" s="257"/>
      <c r="L25" s="93">
        <v>70</v>
      </c>
      <c r="M25" s="289" t="s">
        <v>274</v>
      </c>
      <c r="N25" s="290"/>
      <c r="O25" s="75"/>
      <c r="W25" s="256" t="s">
        <v>205</v>
      </c>
      <c r="X25" s="257"/>
      <c r="Y25" s="257"/>
      <c r="Z25" s="93" t="s">
        <v>355</v>
      </c>
      <c r="AA25" s="256" t="s">
        <v>215</v>
      </c>
      <c r="AB25" s="257"/>
      <c r="AC25" s="257"/>
      <c r="AD25" s="93" t="s">
        <v>360</v>
      </c>
      <c r="AE25" s="256" t="s">
        <v>215</v>
      </c>
      <c r="AF25" s="257"/>
      <c r="AG25" s="257"/>
      <c r="AH25" s="93" t="s">
        <v>365</v>
      </c>
    </row>
    <row r="26" spans="1:49" ht="20.100000000000001" customHeight="1">
      <c r="A26" s="256" t="s">
        <v>208</v>
      </c>
      <c r="B26" s="257"/>
      <c r="C26" s="257"/>
      <c r="D26" s="93">
        <v>20</v>
      </c>
      <c r="E26" s="256" t="s">
        <v>208</v>
      </c>
      <c r="F26" s="257"/>
      <c r="G26" s="257"/>
      <c r="H26" s="93">
        <v>20</v>
      </c>
      <c r="I26" s="256" t="s">
        <v>208</v>
      </c>
      <c r="J26" s="257"/>
      <c r="K26" s="257"/>
      <c r="L26" s="93">
        <v>20</v>
      </c>
      <c r="M26" s="289" t="s">
        <v>275</v>
      </c>
      <c r="N26" s="290"/>
      <c r="O26" s="75">
        <v>47000</v>
      </c>
      <c r="W26" s="256" t="s">
        <v>207</v>
      </c>
      <c r="X26" s="257"/>
      <c r="Y26" s="257"/>
      <c r="Z26" s="93" t="s">
        <v>356</v>
      </c>
      <c r="AA26" s="256" t="s">
        <v>216</v>
      </c>
      <c r="AB26" s="257"/>
      <c r="AC26" s="257"/>
      <c r="AD26" s="93" t="s">
        <v>361</v>
      </c>
      <c r="AE26" s="256" t="s">
        <v>216</v>
      </c>
      <c r="AF26" s="257"/>
      <c r="AG26" s="257"/>
      <c r="AH26" s="93" t="s">
        <v>366</v>
      </c>
    </row>
    <row r="27" spans="1:49" ht="20.100000000000001" customHeight="1">
      <c r="A27" s="256" t="s">
        <v>339</v>
      </c>
      <c r="B27" s="257"/>
      <c r="C27" s="257"/>
      <c r="D27" s="93">
        <v>20</v>
      </c>
      <c r="E27" s="256" t="s">
        <v>342</v>
      </c>
      <c r="F27" s="257"/>
      <c r="G27" s="257"/>
      <c r="H27" s="93">
        <v>25</v>
      </c>
      <c r="I27" s="256" t="s">
        <v>342</v>
      </c>
      <c r="J27" s="257"/>
      <c r="K27" s="257"/>
      <c r="L27" s="93">
        <v>30</v>
      </c>
      <c r="M27" s="289" t="s">
        <v>276</v>
      </c>
      <c r="N27" s="290"/>
      <c r="O27" s="75">
        <v>51500</v>
      </c>
      <c r="W27" s="256" t="s">
        <v>208</v>
      </c>
      <c r="X27" s="257"/>
      <c r="Y27" s="257"/>
      <c r="Z27" s="93" t="s">
        <v>357</v>
      </c>
      <c r="AA27" s="256" t="s">
        <v>208</v>
      </c>
      <c r="AB27" s="257"/>
      <c r="AC27" s="257"/>
      <c r="AD27" s="93" t="s">
        <v>362</v>
      </c>
      <c r="AE27" s="256" t="s">
        <v>208</v>
      </c>
      <c r="AF27" s="257"/>
      <c r="AG27" s="257"/>
      <c r="AH27" s="93" t="s">
        <v>367</v>
      </c>
    </row>
    <row r="28" spans="1:49" ht="20.100000000000001" customHeight="1">
      <c r="A28" s="256" t="s">
        <v>340</v>
      </c>
      <c r="B28" s="257"/>
      <c r="C28" s="257"/>
      <c r="D28" s="93">
        <v>15</v>
      </c>
      <c r="E28" s="256" t="s">
        <v>343</v>
      </c>
      <c r="F28" s="257"/>
      <c r="G28" s="257"/>
      <c r="H28" s="93">
        <v>20</v>
      </c>
      <c r="I28" s="256" t="s">
        <v>343</v>
      </c>
      <c r="J28" s="257"/>
      <c r="K28" s="257"/>
      <c r="L28" s="93">
        <v>20</v>
      </c>
      <c r="M28" s="291" t="s">
        <v>277</v>
      </c>
      <c r="N28" s="290"/>
      <c r="O28" s="75">
        <v>53500</v>
      </c>
      <c r="W28" s="256" t="s">
        <v>339</v>
      </c>
      <c r="X28" s="257"/>
      <c r="Y28" s="257"/>
      <c r="Z28" s="93" t="s">
        <v>358</v>
      </c>
      <c r="AA28" s="256" t="s">
        <v>342</v>
      </c>
      <c r="AB28" s="257"/>
      <c r="AC28" s="257"/>
      <c r="AD28" s="93" t="s">
        <v>363</v>
      </c>
      <c r="AE28" s="256" t="s">
        <v>342</v>
      </c>
      <c r="AF28" s="257"/>
      <c r="AG28" s="257"/>
      <c r="AH28" s="93" t="s">
        <v>368</v>
      </c>
    </row>
    <row r="29" spans="1:49" ht="20.100000000000001" customHeight="1" thickBot="1">
      <c r="A29" s="258" t="s">
        <v>341</v>
      </c>
      <c r="B29" s="259"/>
      <c r="C29" s="259"/>
      <c r="D29" s="94">
        <v>5</v>
      </c>
      <c r="E29" s="258" t="s">
        <v>344</v>
      </c>
      <c r="F29" s="259"/>
      <c r="G29" s="259"/>
      <c r="H29" s="94">
        <v>7</v>
      </c>
      <c r="I29" s="258" t="s">
        <v>344</v>
      </c>
      <c r="J29" s="259"/>
      <c r="K29" s="259"/>
      <c r="L29" s="94">
        <v>7</v>
      </c>
      <c r="W29" s="256" t="s">
        <v>340</v>
      </c>
      <c r="X29" s="257"/>
      <c r="Y29" s="257"/>
      <c r="Z29" s="93" t="s">
        <v>345</v>
      </c>
      <c r="AA29" s="256" t="s">
        <v>343</v>
      </c>
      <c r="AB29" s="257"/>
      <c r="AC29" s="257"/>
      <c r="AD29" s="93" t="s">
        <v>347</v>
      </c>
      <c r="AE29" s="256" t="s">
        <v>343</v>
      </c>
      <c r="AF29" s="257"/>
      <c r="AG29" s="257"/>
      <c r="AH29" s="93" t="s">
        <v>349</v>
      </c>
    </row>
    <row r="30" spans="1:49" ht="20.100000000000001" customHeight="1" thickTop="1" thickBot="1">
      <c r="A30" s="253" t="s">
        <v>55</v>
      </c>
      <c r="B30" s="254"/>
      <c r="C30" s="254"/>
      <c r="D30" s="255"/>
      <c r="E30" s="253" t="s">
        <v>56</v>
      </c>
      <c r="F30" s="254"/>
      <c r="G30" s="255"/>
      <c r="H30" s="253" t="s">
        <v>236</v>
      </c>
      <c r="I30" s="254"/>
      <c r="J30" s="254"/>
      <c r="K30" s="254"/>
      <c r="L30" s="255"/>
      <c r="W30" s="258" t="s">
        <v>341</v>
      </c>
      <c r="X30" s="259"/>
      <c r="Y30" s="259"/>
      <c r="Z30" s="93" t="s">
        <v>346</v>
      </c>
      <c r="AA30" s="258" t="s">
        <v>344</v>
      </c>
      <c r="AB30" s="259"/>
      <c r="AC30" s="259"/>
      <c r="AD30" s="93" t="s">
        <v>348</v>
      </c>
      <c r="AE30" s="258" t="s">
        <v>344</v>
      </c>
      <c r="AF30" s="259"/>
      <c r="AG30" s="259"/>
      <c r="AH30" s="93" t="s">
        <v>350</v>
      </c>
    </row>
    <row r="31" spans="1:49" ht="20.100000000000001" customHeight="1" thickTop="1">
      <c r="A31" s="271" t="s">
        <v>227</v>
      </c>
      <c r="B31" s="272"/>
      <c r="C31" s="272" t="s">
        <v>63</v>
      </c>
      <c r="D31" s="273"/>
      <c r="E31" s="53">
        <v>1</v>
      </c>
      <c r="F31" s="260" t="s">
        <v>233</v>
      </c>
      <c r="G31" s="261"/>
      <c r="H31" s="268" t="s">
        <v>237</v>
      </c>
      <c r="I31" s="269"/>
      <c r="J31" s="269" t="s">
        <v>313</v>
      </c>
      <c r="K31" s="269"/>
      <c r="L31" s="270"/>
    </row>
    <row r="32" spans="1:49" ht="20.100000000000001" customHeight="1">
      <c r="A32" s="271" t="s">
        <v>228</v>
      </c>
      <c r="B32" s="272"/>
      <c r="C32" s="272" t="s">
        <v>64</v>
      </c>
      <c r="D32" s="273"/>
      <c r="E32" s="53">
        <v>2</v>
      </c>
      <c r="F32" s="260" t="s">
        <v>192</v>
      </c>
      <c r="G32" s="261"/>
      <c r="H32" s="268" t="s">
        <v>238</v>
      </c>
      <c r="I32" s="269"/>
      <c r="J32" s="269" t="s">
        <v>196</v>
      </c>
      <c r="K32" s="269"/>
      <c r="L32" s="270"/>
    </row>
    <row r="33" spans="1:12" ht="20.100000000000001" customHeight="1">
      <c r="A33" s="271" t="s">
        <v>229</v>
      </c>
      <c r="B33" s="272"/>
      <c r="C33" s="275" t="s">
        <v>66</v>
      </c>
      <c r="D33" s="276"/>
      <c r="E33" s="53">
        <v>3</v>
      </c>
      <c r="F33" s="260" t="s">
        <v>234</v>
      </c>
      <c r="G33" s="261"/>
      <c r="H33" s="268" t="s">
        <v>239</v>
      </c>
      <c r="I33" s="269"/>
      <c r="J33" s="269" t="s">
        <v>242</v>
      </c>
      <c r="K33" s="269"/>
      <c r="L33" s="270"/>
    </row>
    <row r="34" spans="1:12" ht="24.95" customHeight="1">
      <c r="A34" s="271" t="s">
        <v>232</v>
      </c>
      <c r="B34" s="272"/>
      <c r="C34" s="275" t="s">
        <v>65</v>
      </c>
      <c r="D34" s="276"/>
      <c r="E34" s="53">
        <v>4</v>
      </c>
      <c r="F34" s="260" t="s">
        <v>235</v>
      </c>
      <c r="G34" s="261"/>
      <c r="H34" s="268" t="s">
        <v>240</v>
      </c>
      <c r="I34" s="269"/>
      <c r="J34" s="269" t="s">
        <v>309</v>
      </c>
      <c r="K34" s="269"/>
      <c r="L34" s="270"/>
    </row>
    <row r="35" spans="1:12" ht="15.75" customHeight="1">
      <c r="A35" s="271" t="s">
        <v>230</v>
      </c>
      <c r="B35" s="272"/>
      <c r="C35" s="272" t="s">
        <v>67</v>
      </c>
      <c r="D35" s="273"/>
      <c r="E35" s="58"/>
      <c r="F35" s="260"/>
      <c r="G35" s="261"/>
      <c r="H35" s="268" t="s">
        <v>36</v>
      </c>
      <c r="I35" s="269"/>
      <c r="J35" s="269" t="s">
        <v>300</v>
      </c>
      <c r="K35" s="269"/>
      <c r="L35" s="270"/>
    </row>
    <row r="36" spans="1:12" ht="16.5" thickBot="1">
      <c r="A36" s="271" t="s">
        <v>231</v>
      </c>
      <c r="B36" s="272"/>
      <c r="C36" s="272" t="s">
        <v>68</v>
      </c>
      <c r="D36" s="273"/>
      <c r="E36" s="58"/>
      <c r="F36" s="260"/>
      <c r="G36" s="261"/>
      <c r="H36" s="268" t="s">
        <v>245</v>
      </c>
      <c r="I36" s="269"/>
      <c r="J36" s="269" t="s">
        <v>246</v>
      </c>
      <c r="K36" s="269"/>
      <c r="L36" s="270"/>
    </row>
    <row r="37" spans="1:12" ht="17.25" thickTop="1" thickBot="1">
      <c r="A37" s="245" t="s">
        <v>74</v>
      </c>
      <c r="B37" s="246"/>
      <c r="C37" s="246"/>
      <c r="D37" s="246"/>
      <c r="E37" s="246"/>
      <c r="F37" s="246"/>
      <c r="G37" s="246"/>
      <c r="H37" s="246"/>
      <c r="I37" s="246"/>
      <c r="J37" s="246"/>
      <c r="K37" s="246"/>
      <c r="L37" s="247"/>
    </row>
    <row r="38" spans="1:12" ht="15.75" customHeight="1" thickTop="1">
      <c r="A38" s="222">
        <v>1</v>
      </c>
      <c r="B38" s="267" t="s">
        <v>266</v>
      </c>
      <c r="C38" s="267"/>
      <c r="D38" s="267"/>
      <c r="E38" s="267"/>
      <c r="F38" s="267"/>
      <c r="G38" s="267"/>
      <c r="H38" s="267"/>
      <c r="I38" s="267"/>
      <c r="J38" s="267"/>
      <c r="K38" s="267"/>
      <c r="L38" s="267"/>
    </row>
    <row r="39" spans="1:12" ht="15" customHeight="1">
      <c r="A39" s="222"/>
      <c r="B39" s="267"/>
      <c r="C39" s="267"/>
      <c r="D39" s="267"/>
      <c r="E39" s="267"/>
      <c r="F39" s="267"/>
      <c r="G39" s="267"/>
      <c r="H39" s="267"/>
      <c r="I39" s="267"/>
      <c r="J39" s="267"/>
      <c r="K39" s="267"/>
      <c r="L39" s="267"/>
    </row>
    <row r="40" spans="1:12">
      <c r="A40" s="33">
        <v>2</v>
      </c>
      <c r="B40" s="260" t="s">
        <v>264</v>
      </c>
      <c r="C40" s="260"/>
      <c r="D40" s="260"/>
      <c r="E40" s="260"/>
      <c r="F40" s="260"/>
      <c r="G40" s="260"/>
      <c r="H40" s="260"/>
      <c r="I40" s="260"/>
      <c r="J40" s="260"/>
      <c r="K40" s="260"/>
      <c r="L40" s="260"/>
    </row>
    <row r="41" spans="1:12" ht="24.95" customHeight="1">
      <c r="A41" s="33">
        <v>3</v>
      </c>
      <c r="B41" s="260" t="s">
        <v>163</v>
      </c>
      <c r="C41" s="260"/>
      <c r="D41" s="260"/>
      <c r="E41" s="260"/>
      <c r="F41" s="260"/>
      <c r="G41" s="260"/>
      <c r="H41" s="260"/>
      <c r="I41" s="260"/>
      <c r="J41" s="260"/>
      <c r="K41" s="260"/>
      <c r="L41" s="260"/>
    </row>
    <row r="42" spans="1:12" ht="15.75" customHeight="1">
      <c r="A42" s="54">
        <v>4</v>
      </c>
      <c r="B42" s="260" t="s">
        <v>76</v>
      </c>
      <c r="C42" s="260"/>
      <c r="D42" s="260"/>
      <c r="E42" s="260"/>
      <c r="F42" s="260"/>
      <c r="G42" s="260"/>
      <c r="H42" s="260"/>
      <c r="I42" s="260"/>
      <c r="J42" s="260"/>
      <c r="K42" s="260"/>
      <c r="L42" s="260"/>
    </row>
    <row r="43" spans="1:12" ht="15" customHeight="1">
      <c r="A43" s="274">
        <v>5</v>
      </c>
      <c r="B43" s="267" t="s">
        <v>247</v>
      </c>
      <c r="C43" s="267"/>
      <c r="D43" s="267"/>
      <c r="E43" s="267"/>
      <c r="F43" s="267"/>
      <c r="G43" s="267"/>
      <c r="H43" s="267"/>
      <c r="I43" s="267"/>
      <c r="J43" s="267"/>
      <c r="K43" s="267"/>
      <c r="L43" s="267"/>
    </row>
    <row r="44" spans="1:12">
      <c r="A44" s="274"/>
      <c r="B44" s="267"/>
      <c r="C44" s="267"/>
      <c r="D44" s="267"/>
      <c r="E44" s="267"/>
      <c r="F44" s="267"/>
      <c r="G44" s="267"/>
      <c r="H44" s="267"/>
      <c r="I44" s="267"/>
      <c r="J44" s="267"/>
      <c r="K44" s="267"/>
      <c r="L44" s="267"/>
    </row>
    <row r="45" spans="1:12">
      <c r="A45" s="274"/>
      <c r="B45" s="267"/>
      <c r="C45" s="267"/>
      <c r="D45" s="267"/>
      <c r="E45" s="267"/>
      <c r="F45" s="267"/>
      <c r="G45" s="267"/>
      <c r="H45" s="267"/>
      <c r="I45" s="267"/>
      <c r="J45" s="267"/>
      <c r="K45" s="267"/>
      <c r="L45" s="267"/>
    </row>
    <row r="46" spans="1:12" ht="15" customHeight="1">
      <c r="A46" s="274">
        <v>6</v>
      </c>
      <c r="B46" s="267" t="s">
        <v>77</v>
      </c>
      <c r="C46" s="267"/>
      <c r="D46" s="267"/>
      <c r="E46" s="267"/>
      <c r="F46" s="267"/>
      <c r="G46" s="267"/>
      <c r="H46" s="267"/>
      <c r="I46" s="267"/>
      <c r="J46" s="267"/>
      <c r="K46" s="267"/>
      <c r="L46" s="267"/>
    </row>
    <row r="47" spans="1:12" ht="15" customHeight="1">
      <c r="A47" s="274"/>
      <c r="B47" s="267"/>
      <c r="C47" s="267"/>
      <c r="D47" s="267"/>
      <c r="E47" s="267"/>
      <c r="F47" s="267"/>
      <c r="G47" s="267"/>
      <c r="H47" s="267"/>
      <c r="I47" s="267"/>
      <c r="J47" s="267"/>
      <c r="K47" s="267"/>
      <c r="L47" s="267"/>
    </row>
    <row r="48" spans="1:12" ht="15" customHeight="1">
      <c r="A48" s="251">
        <v>7</v>
      </c>
      <c r="B48" s="252" t="s">
        <v>248</v>
      </c>
      <c r="C48" s="252"/>
      <c r="D48" s="252"/>
      <c r="E48" s="252"/>
      <c r="F48" s="252"/>
      <c r="G48" s="252"/>
      <c r="H48" s="252"/>
      <c r="I48" s="252"/>
      <c r="J48" s="252"/>
      <c r="K48" s="252"/>
      <c r="L48" s="252"/>
    </row>
    <row r="49" spans="1:12" ht="15.75" customHeight="1">
      <c r="A49" s="251"/>
      <c r="B49" s="252"/>
      <c r="C49" s="252"/>
      <c r="D49" s="252"/>
      <c r="E49" s="252"/>
      <c r="F49" s="252"/>
      <c r="G49" s="252"/>
      <c r="H49" s="252"/>
      <c r="I49" s="252"/>
      <c r="J49" s="252"/>
      <c r="K49" s="252"/>
      <c r="L49" s="252"/>
    </row>
    <row r="50" spans="1:12" ht="15.75" customHeight="1">
      <c r="A50" s="251">
        <v>8</v>
      </c>
      <c r="B50" s="250" t="s">
        <v>249</v>
      </c>
      <c r="C50" s="250"/>
      <c r="D50" s="250"/>
      <c r="E50" s="250"/>
      <c r="F50" s="250"/>
      <c r="G50" s="250"/>
      <c r="H50" s="250"/>
      <c r="I50" s="250"/>
      <c r="J50" s="250"/>
      <c r="K50" s="250"/>
      <c r="L50" s="250"/>
    </row>
    <row r="51" spans="1:12" ht="15.75" customHeight="1">
      <c r="A51" s="251"/>
      <c r="B51" s="250"/>
      <c r="C51" s="250"/>
      <c r="D51" s="250"/>
      <c r="E51" s="250"/>
      <c r="F51" s="250"/>
      <c r="G51" s="250"/>
      <c r="H51" s="250"/>
      <c r="I51" s="250"/>
      <c r="J51" s="250"/>
      <c r="K51" s="250"/>
      <c r="L51" s="250"/>
    </row>
    <row r="52" spans="1:12" ht="15.75" customHeight="1">
      <c r="A52" s="251"/>
      <c r="B52" s="250"/>
      <c r="C52" s="250"/>
      <c r="D52" s="250"/>
      <c r="E52" s="250"/>
      <c r="F52" s="250"/>
      <c r="G52" s="250"/>
      <c r="H52" s="250"/>
      <c r="I52" s="250"/>
      <c r="J52" s="250"/>
      <c r="K52" s="250"/>
      <c r="L52" s="250"/>
    </row>
    <row r="53" spans="1:12" ht="15.75" customHeight="1">
      <c r="A53" s="251">
        <v>9</v>
      </c>
      <c r="B53" s="250" t="s">
        <v>250</v>
      </c>
      <c r="C53" s="250"/>
      <c r="D53" s="250"/>
      <c r="E53" s="250"/>
      <c r="F53" s="250"/>
      <c r="G53" s="250"/>
      <c r="H53" s="250"/>
      <c r="I53" s="250"/>
      <c r="J53" s="250"/>
      <c r="K53" s="250"/>
      <c r="L53" s="250"/>
    </row>
    <row r="54" spans="1:12" ht="15.75" customHeight="1">
      <c r="A54" s="251"/>
      <c r="B54" s="250"/>
      <c r="C54" s="250"/>
      <c r="D54" s="250"/>
      <c r="E54" s="250"/>
      <c r="F54" s="250"/>
      <c r="G54" s="250"/>
      <c r="H54" s="250"/>
      <c r="I54" s="250"/>
      <c r="J54" s="250"/>
      <c r="K54" s="250"/>
      <c r="L54" s="250"/>
    </row>
    <row r="55" spans="1:12" ht="15" customHeight="1">
      <c r="A55" s="222">
        <v>10</v>
      </c>
      <c r="B55" s="267" t="s">
        <v>247</v>
      </c>
      <c r="C55" s="260"/>
      <c r="D55" s="260"/>
      <c r="E55" s="260"/>
      <c r="F55" s="260"/>
      <c r="G55" s="260"/>
      <c r="H55" s="260"/>
      <c r="I55" s="260"/>
      <c r="J55" s="260"/>
      <c r="K55" s="260"/>
      <c r="L55" s="260"/>
    </row>
    <row r="56" spans="1:12" ht="15" customHeight="1">
      <c r="A56" s="222"/>
      <c r="B56" s="260"/>
      <c r="C56" s="260"/>
      <c r="D56" s="260"/>
      <c r="E56" s="260"/>
      <c r="F56" s="260"/>
      <c r="G56" s="260"/>
      <c r="H56" s="260"/>
      <c r="I56" s="260"/>
      <c r="J56" s="260"/>
      <c r="K56" s="260"/>
      <c r="L56" s="260"/>
    </row>
    <row r="57" spans="1:12" ht="15" customHeight="1">
      <c r="A57" s="222"/>
      <c r="B57" s="260"/>
      <c r="C57" s="260"/>
      <c r="D57" s="260"/>
      <c r="E57" s="260"/>
      <c r="F57" s="260"/>
      <c r="G57" s="260"/>
      <c r="H57" s="260"/>
      <c r="I57" s="260"/>
      <c r="J57" s="260"/>
      <c r="K57" s="260"/>
      <c r="L57" s="260"/>
    </row>
    <row r="58" spans="1:12" ht="15" customHeight="1">
      <c r="A58" s="55">
        <v>11</v>
      </c>
      <c r="B58" s="252" t="s">
        <v>254</v>
      </c>
      <c r="C58" s="252"/>
      <c r="D58" s="252"/>
      <c r="E58" s="252"/>
      <c r="F58" s="252"/>
      <c r="G58" s="252"/>
      <c r="H58" s="252"/>
      <c r="I58" s="252"/>
      <c r="J58" s="252"/>
      <c r="K58" s="252"/>
      <c r="L58" s="252"/>
    </row>
    <row r="59" spans="1:12" ht="15" customHeight="1">
      <c r="A59" s="244">
        <v>12</v>
      </c>
      <c r="B59" s="243" t="s">
        <v>260</v>
      </c>
      <c r="C59" s="243"/>
      <c r="D59" s="243"/>
      <c r="E59" s="243"/>
      <c r="F59" s="243"/>
      <c r="G59" s="243"/>
      <c r="H59" s="243"/>
      <c r="I59" s="243"/>
      <c r="J59" s="243"/>
      <c r="K59" s="243"/>
      <c r="L59" s="243"/>
    </row>
    <row r="60" spans="1:12" ht="15" customHeight="1">
      <c r="A60" s="244"/>
      <c r="B60" s="243"/>
      <c r="C60" s="243"/>
      <c r="D60" s="243"/>
      <c r="E60" s="243"/>
      <c r="F60" s="243"/>
      <c r="G60" s="243"/>
      <c r="H60" s="243"/>
      <c r="I60" s="243"/>
      <c r="J60" s="243"/>
      <c r="K60" s="243"/>
      <c r="L60" s="243"/>
    </row>
    <row r="61" spans="1:12" ht="15" customHeight="1"/>
  </sheetData>
  <mergeCells count="156">
    <mergeCell ref="W29:Y29"/>
    <mergeCell ref="AA29:AC29"/>
    <mergeCell ref="AE29:AG29"/>
    <mergeCell ref="W30:Y30"/>
    <mergeCell ref="AA30:AC30"/>
    <mergeCell ref="AE30:AG30"/>
    <mergeCell ref="W26:Y26"/>
    <mergeCell ref="AA26:AC26"/>
    <mergeCell ref="AE26:AG26"/>
    <mergeCell ref="W27:Y27"/>
    <mergeCell ref="AA27:AC27"/>
    <mergeCell ref="AE27:AG27"/>
    <mergeCell ref="W28:Y28"/>
    <mergeCell ref="AA28:AC28"/>
    <mergeCell ref="AE28:AG28"/>
    <mergeCell ref="AS5:AS8"/>
    <mergeCell ref="AT5:AT8"/>
    <mergeCell ref="AU5:AU8"/>
    <mergeCell ref="AJ1:AU1"/>
    <mergeCell ref="M2:AV4"/>
    <mergeCell ref="P5:V7"/>
    <mergeCell ref="Y5:AI7"/>
    <mergeCell ref="AV5:AV8"/>
    <mergeCell ref="V8:V9"/>
    <mergeCell ref="AI8:AI9"/>
    <mergeCell ref="M5:M8"/>
    <mergeCell ref="N5:N8"/>
    <mergeCell ref="AJ5:AJ8"/>
    <mergeCell ref="AK5:AK8"/>
    <mergeCell ref="AL5:AL8"/>
    <mergeCell ref="AM5:AM8"/>
    <mergeCell ref="AN5:AN8"/>
    <mergeCell ref="AO5:AO8"/>
    <mergeCell ref="AP5:AP8"/>
    <mergeCell ref="AQ5:AQ9"/>
    <mergeCell ref="AR5:AR8"/>
    <mergeCell ref="A1:L1"/>
    <mergeCell ref="A22:C22"/>
    <mergeCell ref="E22:G22"/>
    <mergeCell ref="I22:K22"/>
    <mergeCell ref="A2:L2"/>
    <mergeCell ref="A3:A4"/>
    <mergeCell ref="B3:G4"/>
    <mergeCell ref="H3:I4"/>
    <mergeCell ref="J3:L4"/>
    <mergeCell ref="B8:D8"/>
    <mergeCell ref="E8:H8"/>
    <mergeCell ref="I8:K8"/>
    <mergeCell ref="A5:A6"/>
    <mergeCell ref="B5:G6"/>
    <mergeCell ref="H5:I6"/>
    <mergeCell ref="J5:L6"/>
    <mergeCell ref="A23:C23"/>
    <mergeCell ref="E23:G23"/>
    <mergeCell ref="I23:K23"/>
    <mergeCell ref="A20:L20"/>
    <mergeCell ref="A21:D21"/>
    <mergeCell ref="E21:H21"/>
    <mergeCell ref="I21:L21"/>
    <mergeCell ref="A27:C27"/>
    <mergeCell ref="E27:G27"/>
    <mergeCell ref="I27:K27"/>
    <mergeCell ref="A24:C24"/>
    <mergeCell ref="E24:G24"/>
    <mergeCell ref="I24:K24"/>
    <mergeCell ref="A25:C25"/>
    <mergeCell ref="E25:G25"/>
    <mergeCell ref="I25:K25"/>
    <mergeCell ref="A26:C26"/>
    <mergeCell ref="E26:G26"/>
    <mergeCell ref="I26:K26"/>
    <mergeCell ref="A30:D30"/>
    <mergeCell ref="E30:G30"/>
    <mergeCell ref="H30:L30"/>
    <mergeCell ref="A31:B31"/>
    <mergeCell ref="C31:D31"/>
    <mergeCell ref="F31:G31"/>
    <mergeCell ref="H31:I31"/>
    <mergeCell ref="J31:L31"/>
    <mergeCell ref="A28:C28"/>
    <mergeCell ref="E28:G28"/>
    <mergeCell ref="I28:K28"/>
    <mergeCell ref="A29:C29"/>
    <mergeCell ref="E29:G29"/>
    <mergeCell ref="I29:K29"/>
    <mergeCell ref="A32:B32"/>
    <mergeCell ref="C32:D32"/>
    <mergeCell ref="F32:G32"/>
    <mergeCell ref="H32:I32"/>
    <mergeCell ref="J32:L32"/>
    <mergeCell ref="A33:B33"/>
    <mergeCell ref="C33:D33"/>
    <mergeCell ref="F33:G33"/>
    <mergeCell ref="H33:I33"/>
    <mergeCell ref="J33:L33"/>
    <mergeCell ref="H36:I36"/>
    <mergeCell ref="J36:L36"/>
    <mergeCell ref="A37:L37"/>
    <mergeCell ref="A34:B34"/>
    <mergeCell ref="C34:D34"/>
    <mergeCell ref="F34:G34"/>
    <mergeCell ref="H34:I34"/>
    <mergeCell ref="J34:L34"/>
    <mergeCell ref="A35:B35"/>
    <mergeCell ref="C35:D35"/>
    <mergeCell ref="F35:G35"/>
    <mergeCell ref="H35:I35"/>
    <mergeCell ref="J35:L35"/>
    <mergeCell ref="AA25:AC25"/>
    <mergeCell ref="A53:A54"/>
    <mergeCell ref="B53:L54"/>
    <mergeCell ref="A55:A57"/>
    <mergeCell ref="B55:L57"/>
    <mergeCell ref="B58:L58"/>
    <mergeCell ref="A59:A60"/>
    <mergeCell ref="B59:L60"/>
    <mergeCell ref="A46:A47"/>
    <mergeCell ref="B46:L47"/>
    <mergeCell ref="A48:A49"/>
    <mergeCell ref="B48:L49"/>
    <mergeCell ref="A50:A52"/>
    <mergeCell ref="B50:L52"/>
    <mergeCell ref="A38:A39"/>
    <mergeCell ref="B38:L39"/>
    <mergeCell ref="B40:L40"/>
    <mergeCell ref="B41:L41"/>
    <mergeCell ref="B42:L42"/>
    <mergeCell ref="A43:A45"/>
    <mergeCell ref="B43:L45"/>
    <mergeCell ref="A36:B36"/>
    <mergeCell ref="C36:D36"/>
    <mergeCell ref="F36:G36"/>
    <mergeCell ref="AE25:AG25"/>
    <mergeCell ref="M27:N27"/>
    <mergeCell ref="M28:N28"/>
    <mergeCell ref="M20:N20"/>
    <mergeCell ref="M21:N21"/>
    <mergeCell ref="O5:O8"/>
    <mergeCell ref="X5:X8"/>
    <mergeCell ref="W5:W8"/>
    <mergeCell ref="M22:N22"/>
    <mergeCell ref="M23:N23"/>
    <mergeCell ref="M24:N24"/>
    <mergeCell ref="M25:N25"/>
    <mergeCell ref="M26:N26"/>
    <mergeCell ref="W21:AH21"/>
    <mergeCell ref="W22:Z22"/>
    <mergeCell ref="AA22:AD22"/>
    <mergeCell ref="AE22:AH22"/>
    <mergeCell ref="W23:Y23"/>
    <mergeCell ref="AA23:AC23"/>
    <mergeCell ref="AE23:AG23"/>
    <mergeCell ref="W24:Y24"/>
    <mergeCell ref="AA24:AC24"/>
    <mergeCell ref="AE24:AG24"/>
    <mergeCell ref="W25:Y25"/>
  </mergeCells>
  <phoneticPr fontId="51" type="noConversion"/>
  <printOptions horizontalCentered="1"/>
  <pageMargins left="0.23622047244094491" right="0.23622047244094491" top="1.0629921259842521" bottom="0.19685039370078741" header="0.31496062992125984" footer="0.11811023622047245"/>
  <pageSetup paperSize="9" scale="60" orientation="portrait" horizontalDpi="4294967293" verticalDpi="0" r:id="rId1"/>
  <headerFooter>
    <oddHeader>&amp;L&amp;G&amp;C&amp;"Bookman Old Style,Bold"&amp;22&amp;K08+000HI - TECH&amp;K01+000
&amp;K05+000SOLAR SOLUTION&amp;"-,Regular"&amp;11&amp;K01+000
&amp;"Book Antiqua,Regular"&amp;9Solutions You Can Trust.
&amp;"Times New Roman,Bold"&amp;10GSTIN : 24AAPFH9566D1Z1
&amp;RM ; &amp;U8140535380&amp;U
Er. Ilyas Kaydawala
&amp;D</oddHeader>
    <oddFooter>&amp;C&amp;"Times New Roman,Bold"OFFICE - 2nd Floor Gujarat Light, Nr Mahila Police Station, Godhra Road, Dahod - 389151</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352E0-3CF9-44E7-A1A6-F6D353946399}">
  <sheetPr>
    <pageSetUpPr fitToPage="1"/>
  </sheetPr>
  <dimension ref="A1:AW61"/>
  <sheetViews>
    <sheetView topLeftCell="A2" zoomScaleNormal="100" workbookViewId="0">
      <selection activeCell="B9" sqref="B9:D19"/>
    </sheetView>
  </sheetViews>
  <sheetFormatPr defaultRowHeight="15"/>
  <cols>
    <col min="1" max="3" width="11.85546875" style="33" customWidth="1"/>
    <col min="4" max="4" width="15.140625" style="33" bestFit="1" customWidth="1"/>
    <col min="5" max="5" width="11.85546875" style="33" customWidth="1"/>
    <col min="6" max="6" width="13.140625" style="33" bestFit="1" customWidth="1"/>
    <col min="7" max="7" width="11.85546875" style="33" customWidth="1"/>
    <col min="8" max="8" width="16.7109375" style="33" bestFit="1" customWidth="1"/>
    <col min="9" max="9" width="14.85546875" style="33" bestFit="1" customWidth="1"/>
    <col min="10" max="10" width="13.5703125" style="33" bestFit="1" customWidth="1"/>
    <col min="11" max="11" width="11.7109375" style="33" bestFit="1" customWidth="1"/>
    <col min="12" max="12" width="16" style="33" customWidth="1"/>
    <col min="13" max="13" width="8.5703125" bestFit="1" customWidth="1"/>
    <col min="14" max="14" width="13.28515625" bestFit="1" customWidth="1"/>
    <col min="15" max="15" width="11.5703125" bestFit="1" customWidth="1"/>
    <col min="16" max="16" width="13.42578125" bestFit="1" customWidth="1"/>
    <col min="17" max="17" width="13.28515625" bestFit="1" customWidth="1"/>
    <col min="18" max="18" width="10.5703125" bestFit="1" customWidth="1"/>
    <col min="19" max="20" width="13.42578125" bestFit="1" customWidth="1"/>
    <col min="21" max="22" width="13" bestFit="1" customWidth="1"/>
    <col min="23" max="23" width="13.140625" bestFit="1" customWidth="1"/>
    <col min="24" max="24" width="18.7109375" bestFit="1" customWidth="1"/>
    <col min="25" max="25" width="14.7109375" bestFit="1" customWidth="1"/>
    <col min="26" max="26" width="13.28515625" bestFit="1" customWidth="1"/>
    <col min="27" max="27" width="16.85546875" customWidth="1"/>
    <col min="28" max="28" width="16.7109375" bestFit="1" customWidth="1"/>
    <col min="29" max="29" width="11.5703125" bestFit="1" customWidth="1"/>
    <col min="30" max="30" width="13.28515625" bestFit="1" customWidth="1"/>
    <col min="31" max="31" width="15.140625" bestFit="1" customWidth="1"/>
    <col min="32" max="32" width="14" bestFit="1" customWidth="1"/>
    <col min="33" max="35" width="10.5703125" bestFit="1" customWidth="1"/>
    <col min="36" max="36" width="15.140625" bestFit="1" customWidth="1"/>
    <col min="37" max="38" width="13" bestFit="1" customWidth="1"/>
    <col min="39" max="39" width="13.140625" bestFit="1" customWidth="1"/>
    <col min="40" max="40" width="18.7109375" bestFit="1" customWidth="1"/>
    <col min="41" max="41" width="14.7109375" bestFit="1" customWidth="1"/>
    <col min="42" max="42" width="14.42578125" bestFit="1" customWidth="1"/>
    <col min="43" max="43" width="13.28515625" bestFit="1" customWidth="1"/>
    <col min="44" max="44" width="17.42578125" customWidth="1"/>
    <col min="45" max="45" width="16.7109375" bestFit="1" customWidth="1"/>
    <col min="46" max="47" width="11.5703125" bestFit="1" customWidth="1"/>
    <col min="48" max="48" width="15.140625" bestFit="1" customWidth="1"/>
    <col min="49" max="49" width="12.28515625" bestFit="1" customWidth="1"/>
  </cols>
  <sheetData>
    <row r="1" spans="1:49" ht="9.9499999999999993" customHeight="1" thickTop="1">
      <c r="A1" s="277"/>
      <c r="B1" s="277"/>
      <c r="C1" s="277"/>
      <c r="D1" s="277"/>
      <c r="E1" s="277"/>
      <c r="F1" s="277"/>
      <c r="G1" s="277"/>
      <c r="H1" s="277"/>
      <c r="I1" s="277"/>
      <c r="J1" s="277"/>
      <c r="K1" s="277"/>
      <c r="L1" s="277"/>
      <c r="M1" t="s">
        <v>296</v>
      </c>
      <c r="AJ1" s="277"/>
      <c r="AK1" s="277"/>
      <c r="AL1" s="277"/>
      <c r="AM1" s="277"/>
      <c r="AN1" s="277"/>
      <c r="AO1" s="277"/>
      <c r="AP1" s="277"/>
      <c r="AQ1" s="277"/>
      <c r="AR1" s="277"/>
      <c r="AS1" s="277"/>
      <c r="AT1" s="277"/>
      <c r="AU1" s="277"/>
    </row>
    <row r="2" spans="1:49" ht="15" customHeight="1" thickBot="1">
      <c r="A2" s="278" t="s">
        <v>256</v>
      </c>
      <c r="B2" s="278"/>
      <c r="C2" s="278"/>
      <c r="D2" s="278"/>
      <c r="E2" s="278"/>
      <c r="F2" s="278"/>
      <c r="G2" s="278"/>
      <c r="H2" s="278"/>
      <c r="I2" s="278"/>
      <c r="J2" s="278"/>
      <c r="K2" s="278"/>
      <c r="L2" s="278"/>
      <c r="M2" s="285" t="s">
        <v>280</v>
      </c>
      <c r="N2" s="285"/>
      <c r="O2" s="285"/>
      <c r="P2" s="285"/>
      <c r="Q2" s="285"/>
      <c r="R2" s="285"/>
      <c r="S2" s="285"/>
      <c r="T2" s="285"/>
      <c r="U2" s="285"/>
      <c r="V2" s="285"/>
      <c r="W2" s="285"/>
      <c r="X2" s="285"/>
      <c r="Y2" s="285"/>
      <c r="Z2" s="285"/>
      <c r="AA2" s="285"/>
      <c r="AB2" s="285"/>
      <c r="AC2" s="285"/>
      <c r="AD2" s="285"/>
      <c r="AE2" s="285"/>
      <c r="AF2" s="285"/>
      <c r="AG2" s="285"/>
      <c r="AH2" s="285"/>
      <c r="AI2" s="285"/>
      <c r="AJ2" s="285"/>
      <c r="AK2" s="285"/>
      <c r="AL2" s="285"/>
      <c r="AM2" s="285"/>
      <c r="AN2" s="285"/>
      <c r="AO2" s="285"/>
      <c r="AP2" s="285"/>
      <c r="AQ2" s="285"/>
      <c r="AR2" s="285"/>
      <c r="AS2" s="285"/>
      <c r="AT2" s="285"/>
      <c r="AU2" s="285"/>
      <c r="AV2" s="285"/>
    </row>
    <row r="3" spans="1:49" ht="15" customHeight="1">
      <c r="A3" s="279" t="s">
        <v>5</v>
      </c>
      <c r="B3" s="281"/>
      <c r="C3" s="281"/>
      <c r="D3" s="281"/>
      <c r="E3" s="281"/>
      <c r="F3" s="281"/>
      <c r="G3" s="281"/>
      <c r="H3" s="281" t="s">
        <v>166</v>
      </c>
      <c r="I3" s="281"/>
      <c r="J3" s="281"/>
      <c r="K3" s="281"/>
      <c r="L3" s="294"/>
      <c r="M3" s="285"/>
      <c r="N3" s="285"/>
      <c r="O3" s="285"/>
      <c r="P3" s="285"/>
      <c r="Q3" s="285"/>
      <c r="R3" s="285"/>
      <c r="S3" s="285"/>
      <c r="T3" s="285"/>
      <c r="U3" s="285"/>
      <c r="V3" s="285"/>
      <c r="W3" s="285"/>
      <c r="X3" s="285"/>
      <c r="Y3" s="285"/>
      <c r="Z3" s="285"/>
      <c r="AA3" s="285"/>
      <c r="AB3" s="285"/>
      <c r="AC3" s="285"/>
      <c r="AD3" s="285"/>
      <c r="AE3" s="285"/>
      <c r="AF3" s="285"/>
      <c r="AG3" s="285"/>
      <c r="AH3" s="285"/>
      <c r="AI3" s="285"/>
      <c r="AJ3" s="285"/>
      <c r="AK3" s="285"/>
      <c r="AL3" s="285"/>
      <c r="AM3" s="285"/>
      <c r="AN3" s="285"/>
      <c r="AO3" s="285"/>
      <c r="AP3" s="285"/>
      <c r="AQ3" s="285"/>
      <c r="AR3" s="285"/>
      <c r="AS3" s="285"/>
      <c r="AT3" s="285"/>
      <c r="AU3" s="285"/>
      <c r="AV3" s="285"/>
    </row>
    <row r="4" spans="1:49" ht="15" customHeight="1">
      <c r="A4" s="280"/>
      <c r="B4" s="282"/>
      <c r="C4" s="282"/>
      <c r="D4" s="282"/>
      <c r="E4" s="282"/>
      <c r="F4" s="282"/>
      <c r="G4" s="282"/>
      <c r="H4" s="283"/>
      <c r="I4" s="283"/>
      <c r="J4" s="282"/>
      <c r="K4" s="282"/>
      <c r="L4" s="295"/>
      <c r="M4" s="285"/>
      <c r="N4" s="285"/>
      <c r="O4" s="285"/>
      <c r="P4" s="285"/>
      <c r="Q4" s="285"/>
      <c r="R4" s="285"/>
      <c r="S4" s="285"/>
      <c r="T4" s="285"/>
      <c r="U4" s="285"/>
      <c r="V4" s="285"/>
      <c r="W4" s="285"/>
      <c r="X4" s="285"/>
      <c r="Y4" s="285"/>
      <c r="Z4" s="285"/>
      <c r="AA4" s="285"/>
      <c r="AB4" s="285"/>
      <c r="AC4" s="285"/>
      <c r="AD4" s="285"/>
      <c r="AE4" s="285"/>
      <c r="AF4" s="285"/>
      <c r="AG4" s="285"/>
      <c r="AH4" s="285"/>
      <c r="AI4" s="285"/>
      <c r="AJ4" s="285"/>
      <c r="AK4" s="285"/>
      <c r="AL4" s="285"/>
      <c r="AM4" s="285"/>
      <c r="AN4" s="285"/>
      <c r="AO4" s="285"/>
      <c r="AP4" s="285"/>
      <c r="AQ4" s="285"/>
      <c r="AR4" s="285"/>
      <c r="AS4" s="285"/>
      <c r="AT4" s="285"/>
      <c r="AU4" s="285"/>
      <c r="AV4" s="285"/>
    </row>
    <row r="5" spans="1:49" ht="15" customHeight="1">
      <c r="A5" s="280" t="s">
        <v>225</v>
      </c>
      <c r="B5" s="283"/>
      <c r="C5" s="283"/>
      <c r="D5" s="283"/>
      <c r="E5" s="283"/>
      <c r="F5" s="283"/>
      <c r="G5" s="283"/>
      <c r="H5" s="283" t="s">
        <v>226</v>
      </c>
      <c r="I5" s="283"/>
      <c r="J5" s="284"/>
      <c r="K5" s="284"/>
      <c r="L5" s="296"/>
      <c r="M5" s="240" t="s">
        <v>294</v>
      </c>
      <c r="N5" s="240" t="s">
        <v>281</v>
      </c>
      <c r="O5" s="240" t="s">
        <v>282</v>
      </c>
      <c r="P5" s="240" t="s">
        <v>283</v>
      </c>
      <c r="Q5" s="240"/>
      <c r="R5" s="240"/>
      <c r="S5" s="240"/>
      <c r="T5" s="240"/>
      <c r="U5" s="240"/>
      <c r="V5" s="240"/>
      <c r="W5" s="240" t="s">
        <v>159</v>
      </c>
      <c r="X5" s="240" t="s">
        <v>160</v>
      </c>
      <c r="Y5" s="240" t="s">
        <v>284</v>
      </c>
      <c r="Z5" s="240"/>
      <c r="AA5" s="240"/>
      <c r="AB5" s="240"/>
      <c r="AC5" s="240"/>
      <c r="AD5" s="240"/>
      <c r="AE5" s="240"/>
      <c r="AF5" s="240"/>
      <c r="AG5" s="240"/>
      <c r="AH5" s="240"/>
      <c r="AI5" s="240"/>
      <c r="AJ5" s="240" t="s">
        <v>352</v>
      </c>
      <c r="AK5" s="240" t="s">
        <v>285</v>
      </c>
      <c r="AL5" s="240" t="s">
        <v>286</v>
      </c>
      <c r="AM5" s="240" t="s">
        <v>287</v>
      </c>
      <c r="AN5" s="240" t="s">
        <v>288</v>
      </c>
      <c r="AO5" s="240" t="s">
        <v>289</v>
      </c>
      <c r="AP5" s="240" t="s">
        <v>353</v>
      </c>
      <c r="AQ5" s="286" t="s">
        <v>292</v>
      </c>
      <c r="AR5" s="240" t="s">
        <v>293</v>
      </c>
      <c r="AS5" s="240" t="s">
        <v>290</v>
      </c>
      <c r="AT5" s="240" t="s">
        <v>308</v>
      </c>
      <c r="AU5" s="240" t="s">
        <v>291</v>
      </c>
      <c r="AV5" s="240" t="s">
        <v>161</v>
      </c>
    </row>
    <row r="6" spans="1:49" ht="9.9499999999999993" customHeight="1">
      <c r="A6" s="280"/>
      <c r="B6" s="282"/>
      <c r="C6" s="282"/>
      <c r="D6" s="282"/>
      <c r="E6" s="282"/>
      <c r="F6" s="282"/>
      <c r="G6" s="282"/>
      <c r="H6" s="283"/>
      <c r="I6" s="283"/>
      <c r="J6" s="282"/>
      <c r="K6" s="282"/>
      <c r="L6" s="295"/>
      <c r="M6" s="240"/>
      <c r="N6" s="240"/>
      <c r="O6" s="240"/>
      <c r="P6" s="240"/>
      <c r="Q6" s="240"/>
      <c r="R6" s="240"/>
      <c r="S6" s="240"/>
      <c r="T6" s="240"/>
      <c r="U6" s="240"/>
      <c r="V6" s="240"/>
      <c r="W6" s="240"/>
      <c r="X6" s="240"/>
      <c r="Y6" s="240"/>
      <c r="Z6" s="240"/>
      <c r="AA6" s="240"/>
      <c r="AB6" s="240"/>
      <c r="AC6" s="240"/>
      <c r="AD6" s="240"/>
      <c r="AE6" s="240"/>
      <c r="AF6" s="240"/>
      <c r="AG6" s="240"/>
      <c r="AH6" s="240"/>
      <c r="AI6" s="240"/>
      <c r="AJ6" s="240"/>
      <c r="AK6" s="240"/>
      <c r="AL6" s="240"/>
      <c r="AM6" s="240"/>
      <c r="AN6" s="240"/>
      <c r="AO6" s="240"/>
      <c r="AP6" s="240"/>
      <c r="AQ6" s="287"/>
      <c r="AR6" s="240"/>
      <c r="AS6" s="240"/>
      <c r="AT6" s="240"/>
      <c r="AU6" s="240"/>
      <c r="AV6" s="240"/>
    </row>
    <row r="7" spans="1:49" ht="30" customHeight="1" thickBot="1">
      <c r="A7" s="52"/>
      <c r="B7" s="52"/>
      <c r="C7" s="52"/>
      <c r="D7" s="52"/>
      <c r="E7" s="52"/>
      <c r="F7" s="52"/>
      <c r="G7" s="52"/>
      <c r="H7" s="52"/>
      <c r="I7" s="52"/>
      <c r="J7" s="52"/>
      <c r="K7" s="52"/>
      <c r="L7" s="52"/>
      <c r="M7" s="240"/>
      <c r="N7" s="240"/>
      <c r="O7" s="240"/>
      <c r="P7" s="240"/>
      <c r="Q7" s="240"/>
      <c r="R7" s="240"/>
      <c r="S7" s="240"/>
      <c r="T7" s="240"/>
      <c r="U7" s="240"/>
      <c r="V7" s="240"/>
      <c r="W7" s="240"/>
      <c r="X7" s="240"/>
      <c r="Y7" s="240"/>
      <c r="Z7" s="240"/>
      <c r="AA7" s="240"/>
      <c r="AB7" s="240"/>
      <c r="AC7" s="240"/>
      <c r="AD7" s="240"/>
      <c r="AE7" s="240"/>
      <c r="AF7" s="240"/>
      <c r="AG7" s="240"/>
      <c r="AH7" s="240"/>
      <c r="AI7" s="240"/>
      <c r="AJ7" s="240"/>
      <c r="AK7" s="240"/>
      <c r="AL7" s="240"/>
      <c r="AM7" s="240"/>
      <c r="AN7" s="240"/>
      <c r="AO7" s="240"/>
      <c r="AP7" s="240"/>
      <c r="AQ7" s="287"/>
      <c r="AR7" s="240"/>
      <c r="AS7" s="240"/>
      <c r="AT7" s="240"/>
      <c r="AU7" s="240"/>
      <c r="AV7" s="240"/>
    </row>
    <row r="8" spans="1:49" s="40" customFormat="1" ht="65.099999999999994" customHeight="1" thickTop="1" thickBot="1">
      <c r="A8" s="56"/>
      <c r="B8" s="265" t="s">
        <v>223</v>
      </c>
      <c r="C8" s="265"/>
      <c r="D8" s="265"/>
      <c r="E8" s="265" t="s">
        <v>46</v>
      </c>
      <c r="F8" s="265"/>
      <c r="G8" s="265"/>
      <c r="H8" s="265"/>
      <c r="I8" s="266" t="s">
        <v>88</v>
      </c>
      <c r="J8" s="266"/>
      <c r="K8" s="266"/>
      <c r="L8" s="57" t="s">
        <v>224</v>
      </c>
      <c r="M8" s="240"/>
      <c r="N8" s="240"/>
      <c r="O8" s="240"/>
      <c r="P8" s="92" t="s">
        <v>324</v>
      </c>
      <c r="Q8" s="92" t="s">
        <v>323</v>
      </c>
      <c r="R8" s="92" t="s">
        <v>325</v>
      </c>
      <c r="S8" s="92" t="s">
        <v>326</v>
      </c>
      <c r="T8" s="92" t="s">
        <v>327</v>
      </c>
      <c r="U8" s="92" t="s">
        <v>328</v>
      </c>
      <c r="V8" s="241" t="s">
        <v>292</v>
      </c>
      <c r="W8" s="240"/>
      <c r="X8" s="240"/>
      <c r="Y8" s="92" t="s">
        <v>329</v>
      </c>
      <c r="Z8" s="92" t="s">
        <v>330</v>
      </c>
      <c r="AA8" s="92" t="s">
        <v>331</v>
      </c>
      <c r="AB8" s="92" t="s">
        <v>332</v>
      </c>
      <c r="AC8" s="92" t="s">
        <v>351</v>
      </c>
      <c r="AD8" s="92" t="s">
        <v>333</v>
      </c>
      <c r="AE8" s="92" t="s">
        <v>334</v>
      </c>
      <c r="AF8" s="92" t="s">
        <v>335</v>
      </c>
      <c r="AG8" s="92" t="s">
        <v>336</v>
      </c>
      <c r="AH8" s="92" t="s">
        <v>337</v>
      </c>
      <c r="AI8" s="241" t="s">
        <v>292</v>
      </c>
      <c r="AJ8" s="240"/>
      <c r="AK8" s="240"/>
      <c r="AL8" s="240"/>
      <c r="AM8" s="240"/>
      <c r="AN8" s="240"/>
      <c r="AO8" s="240"/>
      <c r="AP8" s="240"/>
      <c r="AQ8" s="287"/>
      <c r="AR8" s="240"/>
      <c r="AS8" s="240"/>
      <c r="AT8" s="240"/>
      <c r="AU8" s="240"/>
      <c r="AV8" s="240"/>
      <c r="AW8"/>
    </row>
    <row r="9" spans="1:49" ht="63.75" thickTop="1">
      <c r="A9" s="69" t="s">
        <v>186</v>
      </c>
      <c r="B9" s="69" t="s">
        <v>96</v>
      </c>
      <c r="C9" s="70" t="s">
        <v>97</v>
      </c>
      <c r="D9" s="70" t="s">
        <v>188</v>
      </c>
      <c r="E9" s="70" t="s">
        <v>98</v>
      </c>
      <c r="F9" s="70" t="s">
        <v>311</v>
      </c>
      <c r="G9" s="70" t="s">
        <v>198</v>
      </c>
      <c r="H9" s="71" t="s">
        <v>187</v>
      </c>
      <c r="I9" s="71" t="s">
        <v>202</v>
      </c>
      <c r="J9" s="71" t="s">
        <v>203</v>
      </c>
      <c r="K9" s="71" t="s">
        <v>204</v>
      </c>
      <c r="L9" s="71" t="s">
        <v>257</v>
      </c>
      <c r="M9" s="81" t="s">
        <v>295</v>
      </c>
      <c r="N9" s="82">
        <v>23.4</v>
      </c>
      <c r="O9" s="82">
        <v>5</v>
      </c>
      <c r="P9" s="82">
        <v>80</v>
      </c>
      <c r="Q9" s="82">
        <v>80</v>
      </c>
      <c r="R9" s="82">
        <v>35</v>
      </c>
      <c r="S9" s="82">
        <v>13</v>
      </c>
      <c r="T9" s="82">
        <v>10</v>
      </c>
      <c r="U9" s="82">
        <v>850</v>
      </c>
      <c r="V9" s="242"/>
      <c r="W9" s="82">
        <v>0.4</v>
      </c>
      <c r="X9" s="82">
        <v>0.4</v>
      </c>
      <c r="Y9" s="82">
        <v>65</v>
      </c>
      <c r="Z9" s="82">
        <v>40</v>
      </c>
      <c r="AA9" s="82">
        <v>90</v>
      </c>
      <c r="AB9" s="82">
        <v>53.5</v>
      </c>
      <c r="AC9" s="82">
        <v>200</v>
      </c>
      <c r="AD9" s="82">
        <v>30</v>
      </c>
      <c r="AE9" s="82">
        <v>45</v>
      </c>
      <c r="AF9" s="82">
        <v>18</v>
      </c>
      <c r="AG9" s="82">
        <v>60</v>
      </c>
      <c r="AH9" s="82">
        <v>75</v>
      </c>
      <c r="AI9" s="242"/>
      <c r="AJ9" s="82">
        <v>1200</v>
      </c>
      <c r="AK9" s="82">
        <v>400</v>
      </c>
      <c r="AL9" s="82">
        <v>400</v>
      </c>
      <c r="AM9" s="82">
        <v>0</v>
      </c>
      <c r="AN9" s="82">
        <v>600</v>
      </c>
      <c r="AO9" s="82">
        <v>1100</v>
      </c>
      <c r="AP9" s="82">
        <v>1000</v>
      </c>
      <c r="AQ9" s="288"/>
      <c r="AR9" s="83">
        <v>0.2</v>
      </c>
      <c r="AS9" s="82"/>
      <c r="AT9" s="84">
        <v>0.05</v>
      </c>
      <c r="AU9" s="84">
        <v>0.18</v>
      </c>
      <c r="AV9" s="85"/>
      <c r="AW9" s="40"/>
    </row>
    <row r="10" spans="1:49" ht="20.100000000000001" customHeight="1">
      <c r="A10" s="61">
        <v>1</v>
      </c>
      <c r="B10" s="41">
        <v>4</v>
      </c>
      <c r="C10" s="61">
        <v>600</v>
      </c>
      <c r="D10" s="42">
        <f>C10*B10/1000</f>
        <v>2.4</v>
      </c>
      <c r="E10" s="63">
        <f>F10/D10</f>
        <v>52597.610999999997</v>
      </c>
      <c r="F10" s="89">
        <v>126234.26639999999</v>
      </c>
      <c r="G10" s="63">
        <f>60000+(18000*(D10-2))</f>
        <v>67200</v>
      </c>
      <c r="H10" s="63">
        <f>F10-G10</f>
        <v>59034.266399999993</v>
      </c>
      <c r="I10" s="62">
        <f>5*D10</f>
        <v>12</v>
      </c>
      <c r="J10" s="64">
        <f>I10*60</f>
        <v>720</v>
      </c>
      <c r="K10" s="64">
        <f>J10*8</f>
        <v>5760</v>
      </c>
      <c r="L10" s="64">
        <v>3</v>
      </c>
      <c r="M10" s="87" t="str">
        <f>CONCATENATE(D10,$M$1)</f>
        <v>2.4 KW</v>
      </c>
      <c r="N10" s="86">
        <f>$N$9*(D10*1000)</f>
        <v>56160</v>
      </c>
      <c r="O10" s="86">
        <v>15300</v>
      </c>
      <c r="P10" s="90">
        <f>L10*18*$P$9</f>
        <v>4320</v>
      </c>
      <c r="Q10" s="90">
        <f>L10*15*$Q$9</f>
        <v>3600</v>
      </c>
      <c r="R10" s="90">
        <f>L10*2*$R$9</f>
        <v>210</v>
      </c>
      <c r="S10" s="90">
        <f>B10*4*$S$9</f>
        <v>208</v>
      </c>
      <c r="T10" s="90">
        <f>L10*8*$T$9</f>
        <v>240</v>
      </c>
      <c r="U10" s="90">
        <f>$U$9/2</f>
        <v>425</v>
      </c>
      <c r="V10" s="86">
        <f>SUM(P10:U10)</f>
        <v>9003</v>
      </c>
      <c r="W10" s="86">
        <v>1200</v>
      </c>
      <c r="X10" s="86">
        <f>$X$9*(D10*1000)</f>
        <v>960</v>
      </c>
      <c r="Y10" s="86">
        <f>$D$23*$Y$9</f>
        <v>975</v>
      </c>
      <c r="Z10" s="86">
        <f>$D$24*$Z$9</f>
        <v>1600</v>
      </c>
      <c r="AA10" s="86">
        <v>0</v>
      </c>
      <c r="AB10" s="86">
        <v>0</v>
      </c>
      <c r="AC10" s="86">
        <v>0</v>
      </c>
      <c r="AD10" s="86">
        <f>$D$25*$AD$9</f>
        <v>2100</v>
      </c>
      <c r="AE10" s="86">
        <v>0</v>
      </c>
      <c r="AF10" s="86">
        <f>$D$26*$AF$9</f>
        <v>360</v>
      </c>
      <c r="AG10" s="86">
        <f>$D$27*$AG$9</f>
        <v>1200</v>
      </c>
      <c r="AH10" s="86">
        <v>0</v>
      </c>
      <c r="AI10" s="86">
        <f>SUM(Y10:AH10)</f>
        <v>6235</v>
      </c>
      <c r="AJ10" s="86">
        <f>AJ9</f>
        <v>1200</v>
      </c>
      <c r="AK10" s="86">
        <v>1500</v>
      </c>
      <c r="AL10" s="86">
        <f>AL9</f>
        <v>400</v>
      </c>
      <c r="AM10" s="86">
        <v>0</v>
      </c>
      <c r="AN10" s="86">
        <f>$AN$9*D10</f>
        <v>1440</v>
      </c>
      <c r="AO10" s="86">
        <v>3200</v>
      </c>
      <c r="AP10" s="86">
        <f>D10*$AP$9</f>
        <v>2400</v>
      </c>
      <c r="AQ10" s="86">
        <f>SUM(N10:AO10)-AI10-V10</f>
        <v>96598</v>
      </c>
      <c r="AR10" s="86">
        <f>AQ10*$AR$9</f>
        <v>19319.600000000002</v>
      </c>
      <c r="AS10" s="86">
        <f>SUM(AQ10:AR10)</f>
        <v>115917.6</v>
      </c>
      <c r="AT10" s="86">
        <f>(AS10*70%)*$AT$9</f>
        <v>4057.116</v>
      </c>
      <c r="AU10" s="86">
        <f>(AS10*30%)*$AU$9</f>
        <v>6259.5503999999992</v>
      </c>
      <c r="AV10" s="90">
        <f>SUM(AS10:AU10)</f>
        <v>126234.26639999999</v>
      </c>
      <c r="AW10" s="76">
        <f>AV10-F10</f>
        <v>0</v>
      </c>
    </row>
    <row r="11" spans="1:49" ht="20.100000000000001" customHeight="1">
      <c r="A11" s="61">
        <v>2</v>
      </c>
      <c r="B11" s="41">
        <v>5</v>
      </c>
      <c r="C11" s="61">
        <v>600</v>
      </c>
      <c r="D11" s="42">
        <f>C11*B11/1000</f>
        <v>3</v>
      </c>
      <c r="E11" s="63">
        <f t="shared" ref="E11:E19" si="0">F11/D11</f>
        <v>48565.043999999994</v>
      </c>
      <c r="F11" s="89">
        <v>145695.13199999998</v>
      </c>
      <c r="G11" s="63">
        <v>78000</v>
      </c>
      <c r="H11" s="63">
        <f>F11-G11</f>
        <v>67695.131999999983</v>
      </c>
      <c r="I11" s="62">
        <f t="shared" ref="I11:I19" si="1">5*D11</f>
        <v>15</v>
      </c>
      <c r="J11" s="64">
        <f t="shared" ref="J11:J19" si="2">I11*60</f>
        <v>900</v>
      </c>
      <c r="K11" s="64">
        <f t="shared" ref="K11:K19" si="3">J11*8</f>
        <v>7200</v>
      </c>
      <c r="L11" s="64">
        <v>3</v>
      </c>
      <c r="M11" s="87" t="str">
        <f t="shared" ref="M11:M19" si="4">CONCATENATE(D11,$M$1)</f>
        <v>3 KW</v>
      </c>
      <c r="N11" s="86">
        <f t="shared" ref="N11:N19" si="5">$N$9*(D11*1000)</f>
        <v>70200</v>
      </c>
      <c r="O11" s="86">
        <v>15500</v>
      </c>
      <c r="P11" s="90">
        <f t="shared" ref="P11:P19" si="6">L11*18*$P$9</f>
        <v>4320</v>
      </c>
      <c r="Q11" s="90">
        <f t="shared" ref="Q11:Q19" si="7">L11*15*$Q$9</f>
        <v>3600</v>
      </c>
      <c r="R11" s="90">
        <f t="shared" ref="R11:R19" si="8">L11*2*$R$9</f>
        <v>210</v>
      </c>
      <c r="S11" s="90">
        <f t="shared" ref="S11:S19" si="9">B11*4*$S$9</f>
        <v>260</v>
      </c>
      <c r="T11" s="90">
        <f t="shared" ref="T11:T19" si="10">L11*8*$T$9</f>
        <v>240</v>
      </c>
      <c r="U11" s="90">
        <f t="shared" ref="U11:U19" si="11">$U$9/2</f>
        <v>425</v>
      </c>
      <c r="V11" s="86">
        <f t="shared" ref="V11:V19" si="12">SUM(P11:U11)</f>
        <v>9055</v>
      </c>
      <c r="W11" s="86">
        <v>1200</v>
      </c>
      <c r="X11" s="86">
        <f t="shared" ref="X11:X19" si="13">$X$9*(D11*1000)</f>
        <v>1200</v>
      </c>
      <c r="Y11" s="86">
        <f t="shared" ref="Y11:Y13" si="14">$D$23*$Y$9</f>
        <v>975</v>
      </c>
      <c r="Z11" s="86">
        <f t="shared" ref="Z11:Z13" si="15">$D$24*$Z$9</f>
        <v>1600</v>
      </c>
      <c r="AA11" s="86">
        <v>0</v>
      </c>
      <c r="AB11" s="86">
        <v>0</v>
      </c>
      <c r="AC11" s="86">
        <v>0</v>
      </c>
      <c r="AD11" s="86">
        <f t="shared" ref="AD11:AD13" si="16">$D$25*$AD$9</f>
        <v>2100</v>
      </c>
      <c r="AE11" s="86">
        <v>0</v>
      </c>
      <c r="AF11" s="86">
        <f t="shared" ref="AF11:AF13" si="17">$D$26*$AF$9</f>
        <v>360</v>
      </c>
      <c r="AG11" s="86">
        <f t="shared" ref="AG11:AG13" si="18">$D$27*$AG$9</f>
        <v>1200</v>
      </c>
      <c r="AH11" s="86">
        <v>0</v>
      </c>
      <c r="AI11" s="86">
        <f t="shared" ref="AI11:AI19" si="19">SUM(Y11:AH11)</f>
        <v>6235</v>
      </c>
      <c r="AJ11" s="86">
        <f t="shared" ref="AJ11:AJ19" si="20">AJ10</f>
        <v>1200</v>
      </c>
      <c r="AK11" s="86">
        <v>1500</v>
      </c>
      <c r="AL11" s="86">
        <f t="shared" ref="AL11:AL17" si="21">AL10</f>
        <v>400</v>
      </c>
      <c r="AM11" s="86">
        <v>0</v>
      </c>
      <c r="AN11" s="86">
        <f t="shared" ref="AN11:AN19" si="22">$AN$9*D11</f>
        <v>1800</v>
      </c>
      <c r="AO11" s="86">
        <v>3200</v>
      </c>
      <c r="AP11" s="86">
        <f t="shared" ref="AP11:AP19" si="23">D11*$AP$9</f>
        <v>3000</v>
      </c>
      <c r="AQ11" s="86">
        <f t="shared" ref="AQ11:AQ19" si="24">SUM(N11:AO11)-AI11-V11</f>
        <v>111490</v>
      </c>
      <c r="AR11" s="86">
        <f t="shared" ref="AR11:AR19" si="25">AQ11*$AR$9</f>
        <v>22298</v>
      </c>
      <c r="AS11" s="86">
        <f t="shared" ref="AS11:AS19" si="26">SUM(AQ11:AR11)</f>
        <v>133788</v>
      </c>
      <c r="AT11" s="86">
        <f t="shared" ref="AT11:AT19" si="27">(AS11*70%)*$AT$9</f>
        <v>4682.58</v>
      </c>
      <c r="AU11" s="86">
        <f t="shared" ref="AU11:AU19" si="28">(AS11*30%)*$AU$9</f>
        <v>7224.5519999999997</v>
      </c>
      <c r="AV11" s="90">
        <f t="shared" ref="AV11:AV19" si="29">SUM(AS11:AU11)</f>
        <v>145695.13199999998</v>
      </c>
      <c r="AW11" s="76">
        <f t="shared" ref="AW11:AW19" si="30">AV11-F11</f>
        <v>0</v>
      </c>
    </row>
    <row r="12" spans="1:49" ht="20.100000000000001" customHeight="1">
      <c r="A12" s="61">
        <v>3</v>
      </c>
      <c r="B12" s="41">
        <v>6</v>
      </c>
      <c r="C12" s="61">
        <v>600</v>
      </c>
      <c r="D12" s="42">
        <f t="shared" ref="D12:D19" si="31">C12*B12/1000</f>
        <v>3.6</v>
      </c>
      <c r="E12" s="63">
        <f t="shared" si="0"/>
        <v>46406.645999999993</v>
      </c>
      <c r="F12" s="89">
        <v>167063.92559999999</v>
      </c>
      <c r="G12" s="63">
        <v>78000</v>
      </c>
      <c r="H12" s="63">
        <f t="shared" ref="H12:H19" si="32">F12-G12</f>
        <v>89063.925599999988</v>
      </c>
      <c r="I12" s="62">
        <f t="shared" si="1"/>
        <v>18</v>
      </c>
      <c r="J12" s="64">
        <f t="shared" si="2"/>
        <v>1080</v>
      </c>
      <c r="K12" s="64">
        <f t="shared" si="3"/>
        <v>8640</v>
      </c>
      <c r="L12" s="64">
        <v>3</v>
      </c>
      <c r="M12" s="87" t="str">
        <f t="shared" si="4"/>
        <v>3.6 KW</v>
      </c>
      <c r="N12" s="86">
        <f t="shared" si="5"/>
        <v>84240</v>
      </c>
      <c r="O12" s="86">
        <v>15500</v>
      </c>
      <c r="P12" s="90">
        <f t="shared" si="6"/>
        <v>4320</v>
      </c>
      <c r="Q12" s="90">
        <f t="shared" si="7"/>
        <v>3600</v>
      </c>
      <c r="R12" s="90">
        <f t="shared" si="8"/>
        <v>210</v>
      </c>
      <c r="S12" s="90">
        <f t="shared" si="9"/>
        <v>312</v>
      </c>
      <c r="T12" s="90">
        <f t="shared" si="10"/>
        <v>240</v>
      </c>
      <c r="U12" s="90">
        <f t="shared" si="11"/>
        <v>425</v>
      </c>
      <c r="V12" s="86">
        <f t="shared" si="12"/>
        <v>9107</v>
      </c>
      <c r="W12" s="86">
        <f t="shared" ref="W12:W19" si="33">$W$9*(D12*1000)</f>
        <v>1440</v>
      </c>
      <c r="X12" s="86">
        <f t="shared" si="13"/>
        <v>1440</v>
      </c>
      <c r="Y12" s="86">
        <f t="shared" si="14"/>
        <v>975</v>
      </c>
      <c r="Z12" s="86">
        <f t="shared" si="15"/>
        <v>1600</v>
      </c>
      <c r="AA12" s="86">
        <v>0</v>
      </c>
      <c r="AB12" s="86">
        <v>0</v>
      </c>
      <c r="AC12" s="86">
        <v>0</v>
      </c>
      <c r="AD12" s="86">
        <f t="shared" si="16"/>
        <v>2100</v>
      </c>
      <c r="AE12" s="86">
        <v>0</v>
      </c>
      <c r="AF12" s="86">
        <f t="shared" si="17"/>
        <v>360</v>
      </c>
      <c r="AG12" s="86">
        <f t="shared" si="18"/>
        <v>1200</v>
      </c>
      <c r="AH12" s="86">
        <v>0</v>
      </c>
      <c r="AI12" s="86">
        <f t="shared" si="19"/>
        <v>6235</v>
      </c>
      <c r="AJ12" s="86">
        <f t="shared" si="20"/>
        <v>1200</v>
      </c>
      <c r="AK12" s="86">
        <f t="shared" ref="AK12:AK19" si="34">$AK$9*D12*1.5</f>
        <v>2160</v>
      </c>
      <c r="AL12" s="86">
        <f t="shared" si="21"/>
        <v>400</v>
      </c>
      <c r="AM12" s="86">
        <v>0</v>
      </c>
      <c r="AN12" s="86">
        <f t="shared" si="22"/>
        <v>2160</v>
      </c>
      <c r="AO12" s="86">
        <f t="shared" ref="AO12:AO19" si="35">$AO$9*D12</f>
        <v>3960</v>
      </c>
      <c r="AP12" s="86">
        <f t="shared" si="23"/>
        <v>3600</v>
      </c>
      <c r="AQ12" s="86">
        <f t="shared" si="24"/>
        <v>127842</v>
      </c>
      <c r="AR12" s="86">
        <f t="shared" si="25"/>
        <v>25568.400000000001</v>
      </c>
      <c r="AS12" s="86">
        <f t="shared" si="26"/>
        <v>153410.4</v>
      </c>
      <c r="AT12" s="86">
        <f t="shared" si="27"/>
        <v>5369.3639999999996</v>
      </c>
      <c r="AU12" s="86">
        <f t="shared" si="28"/>
        <v>8284.1615999999995</v>
      </c>
      <c r="AV12" s="90">
        <f t="shared" si="29"/>
        <v>167063.92559999999</v>
      </c>
      <c r="AW12" s="76">
        <f t="shared" si="30"/>
        <v>0</v>
      </c>
    </row>
    <row r="13" spans="1:49" ht="20.100000000000001" customHeight="1">
      <c r="A13" s="61">
        <v>4</v>
      </c>
      <c r="B13" s="41">
        <v>7</v>
      </c>
      <c r="C13" s="61">
        <v>600</v>
      </c>
      <c r="D13" s="42">
        <f t="shared" si="31"/>
        <v>4.2</v>
      </c>
      <c r="E13" s="63">
        <f t="shared" si="0"/>
        <v>47540.761714285705</v>
      </c>
      <c r="F13" s="89">
        <v>199671.19919999997</v>
      </c>
      <c r="G13" s="63">
        <v>78000</v>
      </c>
      <c r="H13" s="63">
        <f t="shared" si="32"/>
        <v>121671.19919999997</v>
      </c>
      <c r="I13" s="62">
        <f t="shared" si="1"/>
        <v>21</v>
      </c>
      <c r="J13" s="64">
        <f t="shared" si="2"/>
        <v>1260</v>
      </c>
      <c r="K13" s="64">
        <f t="shared" si="3"/>
        <v>10080</v>
      </c>
      <c r="L13" s="64">
        <v>3</v>
      </c>
      <c r="M13" s="87" t="str">
        <f t="shared" si="4"/>
        <v>4.2 KW</v>
      </c>
      <c r="N13" s="86">
        <f t="shared" si="5"/>
        <v>98280</v>
      </c>
      <c r="O13" s="86">
        <v>24500</v>
      </c>
      <c r="P13" s="90">
        <f t="shared" si="6"/>
        <v>4320</v>
      </c>
      <c r="Q13" s="90">
        <f t="shared" si="7"/>
        <v>3600</v>
      </c>
      <c r="R13" s="90">
        <f t="shared" si="8"/>
        <v>210</v>
      </c>
      <c r="S13" s="90">
        <f t="shared" si="9"/>
        <v>364</v>
      </c>
      <c r="T13" s="90">
        <f t="shared" si="10"/>
        <v>240</v>
      </c>
      <c r="U13" s="90">
        <f t="shared" si="11"/>
        <v>425</v>
      </c>
      <c r="V13" s="86">
        <f t="shared" si="12"/>
        <v>9159</v>
      </c>
      <c r="W13" s="86">
        <f t="shared" si="33"/>
        <v>1680</v>
      </c>
      <c r="X13" s="86">
        <f t="shared" si="13"/>
        <v>1680</v>
      </c>
      <c r="Y13" s="86">
        <f t="shared" si="14"/>
        <v>975</v>
      </c>
      <c r="Z13" s="86">
        <f t="shared" si="15"/>
        <v>1600</v>
      </c>
      <c r="AA13" s="86">
        <v>0</v>
      </c>
      <c r="AB13" s="86">
        <v>0</v>
      </c>
      <c r="AC13" s="86">
        <v>0</v>
      </c>
      <c r="AD13" s="86">
        <f t="shared" si="16"/>
        <v>2100</v>
      </c>
      <c r="AE13" s="86">
        <v>0</v>
      </c>
      <c r="AF13" s="86">
        <f t="shared" si="17"/>
        <v>360</v>
      </c>
      <c r="AG13" s="86">
        <f t="shared" si="18"/>
        <v>1200</v>
      </c>
      <c r="AH13" s="86">
        <v>0</v>
      </c>
      <c r="AI13" s="86">
        <f t="shared" si="19"/>
        <v>6235</v>
      </c>
      <c r="AJ13" s="86">
        <f t="shared" si="20"/>
        <v>1200</v>
      </c>
      <c r="AK13" s="86">
        <f t="shared" si="34"/>
        <v>2520</v>
      </c>
      <c r="AL13" s="86">
        <f t="shared" si="21"/>
        <v>400</v>
      </c>
      <c r="AM13" s="86">
        <v>0</v>
      </c>
      <c r="AN13" s="86">
        <f t="shared" si="22"/>
        <v>2520</v>
      </c>
      <c r="AO13" s="86">
        <f t="shared" si="35"/>
        <v>4620</v>
      </c>
      <c r="AP13" s="86">
        <f t="shared" si="23"/>
        <v>4200</v>
      </c>
      <c r="AQ13" s="86">
        <f t="shared" si="24"/>
        <v>152794</v>
      </c>
      <c r="AR13" s="86">
        <f t="shared" si="25"/>
        <v>30558.800000000003</v>
      </c>
      <c r="AS13" s="86">
        <f t="shared" si="26"/>
        <v>183352.8</v>
      </c>
      <c r="AT13" s="86">
        <f t="shared" si="27"/>
        <v>6417.347999999999</v>
      </c>
      <c r="AU13" s="86">
        <f t="shared" si="28"/>
        <v>9901.0511999999999</v>
      </c>
      <c r="AV13" s="90">
        <f t="shared" si="29"/>
        <v>199671.19919999997</v>
      </c>
      <c r="AW13" s="76">
        <f t="shared" si="30"/>
        <v>0</v>
      </c>
    </row>
    <row r="14" spans="1:49" ht="20.100000000000001" customHeight="1">
      <c r="A14" s="61">
        <v>5</v>
      </c>
      <c r="B14" s="41">
        <v>8</v>
      </c>
      <c r="C14" s="61">
        <v>600</v>
      </c>
      <c r="D14" s="42">
        <f t="shared" si="31"/>
        <v>4.8</v>
      </c>
      <c r="E14" s="63">
        <f t="shared" si="0"/>
        <v>48166.742250000003</v>
      </c>
      <c r="F14" s="89">
        <v>231200.3628</v>
      </c>
      <c r="G14" s="63">
        <v>78000</v>
      </c>
      <c r="H14" s="63">
        <f t="shared" si="32"/>
        <v>153200.3628</v>
      </c>
      <c r="I14" s="62">
        <f t="shared" si="1"/>
        <v>24</v>
      </c>
      <c r="J14" s="64">
        <f t="shared" si="2"/>
        <v>1440</v>
      </c>
      <c r="K14" s="64">
        <f t="shared" si="3"/>
        <v>11520</v>
      </c>
      <c r="L14" s="64">
        <v>3</v>
      </c>
      <c r="M14" s="87" t="str">
        <f t="shared" si="4"/>
        <v>4.8 KW</v>
      </c>
      <c r="N14" s="86">
        <f t="shared" si="5"/>
        <v>112320</v>
      </c>
      <c r="O14" s="86">
        <v>29500</v>
      </c>
      <c r="P14" s="90">
        <f t="shared" si="6"/>
        <v>4320</v>
      </c>
      <c r="Q14" s="90">
        <f t="shared" si="7"/>
        <v>3600</v>
      </c>
      <c r="R14" s="90">
        <f t="shared" si="8"/>
        <v>210</v>
      </c>
      <c r="S14" s="90">
        <f t="shared" si="9"/>
        <v>416</v>
      </c>
      <c r="T14" s="90">
        <f t="shared" si="10"/>
        <v>240</v>
      </c>
      <c r="U14" s="90">
        <f t="shared" si="11"/>
        <v>425</v>
      </c>
      <c r="V14" s="86">
        <f t="shared" si="12"/>
        <v>9211</v>
      </c>
      <c r="W14" s="86">
        <f t="shared" si="33"/>
        <v>1920</v>
      </c>
      <c r="X14" s="86">
        <f t="shared" si="13"/>
        <v>1920</v>
      </c>
      <c r="Y14" s="86">
        <v>0</v>
      </c>
      <c r="Z14" s="86">
        <v>0</v>
      </c>
      <c r="AA14" s="86">
        <f>$H$23*$AA$9</f>
        <v>1350</v>
      </c>
      <c r="AB14" s="86">
        <f>$H$24*$AB$9</f>
        <v>2675</v>
      </c>
      <c r="AC14" s="86">
        <v>0</v>
      </c>
      <c r="AD14" s="86">
        <f t="shared" ref="AD14:AD19" si="36">$D$30*$AD$9</f>
        <v>0</v>
      </c>
      <c r="AE14" s="86">
        <f>$H$25*$AE$9</f>
        <v>3150</v>
      </c>
      <c r="AF14" s="86">
        <f>$H$26*$AF$9</f>
        <v>360</v>
      </c>
      <c r="AG14" s="86">
        <v>0</v>
      </c>
      <c r="AH14" s="86">
        <f>$H$27*$AH$9</f>
        <v>1875</v>
      </c>
      <c r="AI14" s="86">
        <f t="shared" si="19"/>
        <v>9410</v>
      </c>
      <c r="AJ14" s="86">
        <f t="shared" si="20"/>
        <v>1200</v>
      </c>
      <c r="AK14" s="86">
        <f t="shared" si="34"/>
        <v>2880</v>
      </c>
      <c r="AL14" s="86">
        <f t="shared" si="21"/>
        <v>400</v>
      </c>
      <c r="AM14" s="86">
        <v>0</v>
      </c>
      <c r="AN14" s="86">
        <f t="shared" si="22"/>
        <v>2880</v>
      </c>
      <c r="AO14" s="86">
        <f t="shared" si="35"/>
        <v>5280</v>
      </c>
      <c r="AP14" s="86">
        <f t="shared" si="23"/>
        <v>4800</v>
      </c>
      <c r="AQ14" s="86">
        <f t="shared" si="24"/>
        <v>176921</v>
      </c>
      <c r="AR14" s="86">
        <f t="shared" si="25"/>
        <v>35384.200000000004</v>
      </c>
      <c r="AS14" s="86">
        <f t="shared" si="26"/>
        <v>212305.2</v>
      </c>
      <c r="AT14" s="86">
        <f t="shared" si="27"/>
        <v>7430.6819999999998</v>
      </c>
      <c r="AU14" s="86">
        <f t="shared" si="28"/>
        <v>11464.480799999999</v>
      </c>
      <c r="AV14" s="90">
        <f t="shared" si="29"/>
        <v>231200.3628</v>
      </c>
      <c r="AW14" s="76">
        <f t="shared" si="30"/>
        <v>0</v>
      </c>
    </row>
    <row r="15" spans="1:49" ht="20.100000000000001" customHeight="1">
      <c r="A15" s="61">
        <v>6</v>
      </c>
      <c r="B15" s="41">
        <v>9</v>
      </c>
      <c r="C15" s="61">
        <v>600</v>
      </c>
      <c r="D15" s="42">
        <f t="shared" si="31"/>
        <v>5.4</v>
      </c>
      <c r="E15" s="63">
        <f t="shared" si="0"/>
        <v>47350.445999999996</v>
      </c>
      <c r="F15" s="89">
        <v>255692.40839999999</v>
      </c>
      <c r="G15" s="63">
        <v>78000</v>
      </c>
      <c r="H15" s="63">
        <f t="shared" si="32"/>
        <v>177692.40839999999</v>
      </c>
      <c r="I15" s="62">
        <f t="shared" si="1"/>
        <v>27</v>
      </c>
      <c r="J15" s="64">
        <f t="shared" si="2"/>
        <v>1620</v>
      </c>
      <c r="K15" s="64">
        <f t="shared" si="3"/>
        <v>12960</v>
      </c>
      <c r="L15" s="64">
        <v>4</v>
      </c>
      <c r="M15" s="87" t="str">
        <f t="shared" si="4"/>
        <v>5.4 KW</v>
      </c>
      <c r="N15" s="86">
        <f t="shared" si="5"/>
        <v>126359.99999999999</v>
      </c>
      <c r="O15" s="86">
        <v>29500</v>
      </c>
      <c r="P15" s="90">
        <f t="shared" si="6"/>
        <v>5760</v>
      </c>
      <c r="Q15" s="90">
        <f t="shared" si="7"/>
        <v>4800</v>
      </c>
      <c r="R15" s="90">
        <f t="shared" si="8"/>
        <v>280</v>
      </c>
      <c r="S15" s="90">
        <f t="shared" si="9"/>
        <v>468</v>
      </c>
      <c r="T15" s="90">
        <f t="shared" si="10"/>
        <v>320</v>
      </c>
      <c r="U15" s="90">
        <f t="shared" si="11"/>
        <v>425</v>
      </c>
      <c r="V15" s="86">
        <f t="shared" si="12"/>
        <v>12053</v>
      </c>
      <c r="W15" s="86">
        <f t="shared" si="33"/>
        <v>2160</v>
      </c>
      <c r="X15" s="86">
        <f t="shared" si="13"/>
        <v>2160</v>
      </c>
      <c r="Y15" s="86">
        <v>0</v>
      </c>
      <c r="Z15" s="86">
        <v>0</v>
      </c>
      <c r="AA15" s="86">
        <f t="shared" ref="AA15:AA16" si="37">$H$23*$AA$9</f>
        <v>1350</v>
      </c>
      <c r="AB15" s="86">
        <f t="shared" ref="AB15:AB16" si="38">$H$24*$AB$9</f>
        <v>2675</v>
      </c>
      <c r="AC15" s="86">
        <v>0</v>
      </c>
      <c r="AD15" s="86">
        <f t="shared" si="36"/>
        <v>0</v>
      </c>
      <c r="AE15" s="86">
        <f t="shared" ref="AE15:AE16" si="39">$H$25*$AE$9</f>
        <v>3150</v>
      </c>
      <c r="AF15" s="86">
        <f t="shared" ref="AF15:AF16" si="40">$H$26*$AF$9</f>
        <v>360</v>
      </c>
      <c r="AG15" s="86">
        <v>0</v>
      </c>
      <c r="AH15" s="86">
        <f t="shared" ref="AH15:AH16" si="41">$H$27*$AH$9</f>
        <v>1875</v>
      </c>
      <c r="AI15" s="86">
        <f t="shared" si="19"/>
        <v>9410</v>
      </c>
      <c r="AJ15" s="86">
        <f t="shared" si="20"/>
        <v>1200</v>
      </c>
      <c r="AK15" s="86">
        <f t="shared" si="34"/>
        <v>3240</v>
      </c>
      <c r="AL15" s="86">
        <f t="shared" si="21"/>
        <v>400</v>
      </c>
      <c r="AM15" s="86">
        <v>0</v>
      </c>
      <c r="AN15" s="86">
        <f t="shared" si="22"/>
        <v>3240</v>
      </c>
      <c r="AO15" s="86">
        <f t="shared" si="35"/>
        <v>5940</v>
      </c>
      <c r="AP15" s="86">
        <f t="shared" si="23"/>
        <v>5400</v>
      </c>
      <c r="AQ15" s="86">
        <f t="shared" si="24"/>
        <v>195663</v>
      </c>
      <c r="AR15" s="86">
        <f t="shared" si="25"/>
        <v>39132.6</v>
      </c>
      <c r="AS15" s="86">
        <f t="shared" si="26"/>
        <v>234795.6</v>
      </c>
      <c r="AT15" s="86">
        <f t="shared" si="27"/>
        <v>8217.8459999999995</v>
      </c>
      <c r="AU15" s="86">
        <f t="shared" si="28"/>
        <v>12678.962399999999</v>
      </c>
      <c r="AV15" s="90">
        <f t="shared" si="29"/>
        <v>255692.40839999999</v>
      </c>
      <c r="AW15" s="76">
        <f t="shared" si="30"/>
        <v>0</v>
      </c>
    </row>
    <row r="16" spans="1:49" ht="20.100000000000001" customHeight="1">
      <c r="A16" s="61">
        <v>7</v>
      </c>
      <c r="B16" s="41">
        <v>10</v>
      </c>
      <c r="C16" s="61">
        <v>600</v>
      </c>
      <c r="D16" s="42">
        <f t="shared" si="31"/>
        <v>6</v>
      </c>
      <c r="E16" s="63">
        <f t="shared" si="0"/>
        <v>46198.647000000004</v>
      </c>
      <c r="F16" s="89">
        <v>277191.88200000004</v>
      </c>
      <c r="G16" s="63">
        <v>78000</v>
      </c>
      <c r="H16" s="63">
        <f t="shared" si="32"/>
        <v>199191.88200000004</v>
      </c>
      <c r="I16" s="62">
        <f t="shared" si="1"/>
        <v>30</v>
      </c>
      <c r="J16" s="64">
        <f t="shared" si="2"/>
        <v>1800</v>
      </c>
      <c r="K16" s="64">
        <f t="shared" si="3"/>
        <v>14400</v>
      </c>
      <c r="L16" s="64">
        <v>4</v>
      </c>
      <c r="M16" s="87" t="str">
        <f t="shared" si="4"/>
        <v>6 KW</v>
      </c>
      <c r="N16" s="86">
        <f t="shared" si="5"/>
        <v>140400</v>
      </c>
      <c r="O16" s="86">
        <v>30000</v>
      </c>
      <c r="P16" s="90">
        <f t="shared" si="6"/>
        <v>5760</v>
      </c>
      <c r="Q16" s="90">
        <f t="shared" si="7"/>
        <v>4800</v>
      </c>
      <c r="R16" s="90">
        <f t="shared" si="8"/>
        <v>280</v>
      </c>
      <c r="S16" s="90">
        <f t="shared" si="9"/>
        <v>520</v>
      </c>
      <c r="T16" s="90">
        <f t="shared" si="10"/>
        <v>320</v>
      </c>
      <c r="U16" s="90">
        <f t="shared" si="11"/>
        <v>425</v>
      </c>
      <c r="V16" s="86">
        <f t="shared" si="12"/>
        <v>12105</v>
      </c>
      <c r="W16" s="86">
        <f t="shared" si="33"/>
        <v>2400</v>
      </c>
      <c r="X16" s="86">
        <f t="shared" si="13"/>
        <v>2400</v>
      </c>
      <c r="Y16" s="86">
        <v>0</v>
      </c>
      <c r="Z16" s="86">
        <v>0</v>
      </c>
      <c r="AA16" s="86">
        <f t="shared" si="37"/>
        <v>1350</v>
      </c>
      <c r="AB16" s="86">
        <f t="shared" si="38"/>
        <v>2675</v>
      </c>
      <c r="AC16" s="86">
        <v>0</v>
      </c>
      <c r="AD16" s="86">
        <f t="shared" si="36"/>
        <v>0</v>
      </c>
      <c r="AE16" s="86">
        <f t="shared" si="39"/>
        <v>3150</v>
      </c>
      <c r="AF16" s="86">
        <f t="shared" si="40"/>
        <v>360</v>
      </c>
      <c r="AG16" s="86">
        <v>0</v>
      </c>
      <c r="AH16" s="86">
        <f t="shared" si="41"/>
        <v>1875</v>
      </c>
      <c r="AI16" s="86">
        <f t="shared" si="19"/>
        <v>9410</v>
      </c>
      <c r="AJ16" s="86">
        <f t="shared" si="20"/>
        <v>1200</v>
      </c>
      <c r="AK16" s="86">
        <f t="shared" si="34"/>
        <v>3600</v>
      </c>
      <c r="AL16" s="86">
        <f t="shared" si="21"/>
        <v>400</v>
      </c>
      <c r="AM16" s="86">
        <v>0</v>
      </c>
      <c r="AN16" s="86">
        <f t="shared" si="22"/>
        <v>3600</v>
      </c>
      <c r="AO16" s="86">
        <f t="shared" si="35"/>
        <v>6600</v>
      </c>
      <c r="AP16" s="86">
        <f t="shared" si="23"/>
        <v>6000</v>
      </c>
      <c r="AQ16" s="86">
        <f t="shared" si="24"/>
        <v>212115</v>
      </c>
      <c r="AR16" s="86">
        <f t="shared" si="25"/>
        <v>42423</v>
      </c>
      <c r="AS16" s="86">
        <f t="shared" si="26"/>
        <v>254538</v>
      </c>
      <c r="AT16" s="86">
        <f t="shared" si="27"/>
        <v>8908.83</v>
      </c>
      <c r="AU16" s="86">
        <f t="shared" si="28"/>
        <v>13745.051999999998</v>
      </c>
      <c r="AV16" s="90">
        <f t="shared" si="29"/>
        <v>277191.88200000004</v>
      </c>
      <c r="AW16" s="76">
        <f t="shared" si="30"/>
        <v>0</v>
      </c>
    </row>
    <row r="17" spans="1:49" ht="20.100000000000001" customHeight="1">
      <c r="A17" s="61">
        <v>8</v>
      </c>
      <c r="B17" s="41">
        <v>12</v>
      </c>
      <c r="C17" s="61">
        <v>600</v>
      </c>
      <c r="D17" s="42">
        <f t="shared" si="31"/>
        <v>7.2</v>
      </c>
      <c r="E17" s="63">
        <f t="shared" si="0"/>
        <v>45383.893499999998</v>
      </c>
      <c r="F17" s="89">
        <v>326764.03320000001</v>
      </c>
      <c r="G17" s="63">
        <v>78000</v>
      </c>
      <c r="H17" s="63">
        <f t="shared" si="32"/>
        <v>248764.03320000001</v>
      </c>
      <c r="I17" s="62">
        <f t="shared" si="1"/>
        <v>36</v>
      </c>
      <c r="J17" s="64">
        <f t="shared" si="2"/>
        <v>2160</v>
      </c>
      <c r="K17" s="64">
        <f t="shared" si="3"/>
        <v>17280</v>
      </c>
      <c r="L17" s="64">
        <v>6</v>
      </c>
      <c r="M17" s="87" t="str">
        <f t="shared" si="4"/>
        <v>7.2 KW</v>
      </c>
      <c r="N17" s="86">
        <f t="shared" si="5"/>
        <v>168480</v>
      </c>
      <c r="O17" s="86">
        <v>30500</v>
      </c>
      <c r="P17" s="90">
        <f t="shared" si="6"/>
        <v>8640</v>
      </c>
      <c r="Q17" s="90">
        <f t="shared" si="7"/>
        <v>7200</v>
      </c>
      <c r="R17" s="90">
        <f t="shared" si="8"/>
        <v>420</v>
      </c>
      <c r="S17" s="90">
        <f t="shared" si="9"/>
        <v>624</v>
      </c>
      <c r="T17" s="90">
        <f t="shared" si="10"/>
        <v>480</v>
      </c>
      <c r="U17" s="90">
        <f t="shared" si="11"/>
        <v>425</v>
      </c>
      <c r="V17" s="86">
        <f t="shared" si="12"/>
        <v>17789</v>
      </c>
      <c r="W17" s="86">
        <f t="shared" si="33"/>
        <v>2880</v>
      </c>
      <c r="X17" s="86">
        <f t="shared" si="13"/>
        <v>2880</v>
      </c>
      <c r="Y17" s="86">
        <v>0</v>
      </c>
      <c r="Z17" s="86">
        <v>0</v>
      </c>
      <c r="AA17" s="86">
        <v>0</v>
      </c>
      <c r="AB17" s="86">
        <v>0</v>
      </c>
      <c r="AC17" s="86">
        <f>$L$23*$AC$9</f>
        <v>3600</v>
      </c>
      <c r="AD17" s="86">
        <f t="shared" si="36"/>
        <v>0</v>
      </c>
      <c r="AE17" s="86">
        <f>$L$25*$AE$9</f>
        <v>3150</v>
      </c>
      <c r="AF17" s="86">
        <f>$L$26*$AF$9</f>
        <v>360</v>
      </c>
      <c r="AG17" s="86">
        <v>0</v>
      </c>
      <c r="AH17" s="86">
        <f>$L$27*$AH$9</f>
        <v>2250</v>
      </c>
      <c r="AI17" s="86">
        <f t="shared" si="19"/>
        <v>9360</v>
      </c>
      <c r="AJ17" s="86">
        <f t="shared" si="20"/>
        <v>1200</v>
      </c>
      <c r="AK17" s="86">
        <f t="shared" si="34"/>
        <v>4320</v>
      </c>
      <c r="AL17" s="86">
        <f t="shared" si="21"/>
        <v>400</v>
      </c>
      <c r="AM17" s="86">
        <v>0</v>
      </c>
      <c r="AN17" s="86">
        <f t="shared" si="22"/>
        <v>4320</v>
      </c>
      <c r="AO17" s="86">
        <f t="shared" si="35"/>
        <v>7920</v>
      </c>
      <c r="AP17" s="86">
        <f t="shared" si="23"/>
        <v>7200</v>
      </c>
      <c r="AQ17" s="86">
        <f t="shared" si="24"/>
        <v>250049</v>
      </c>
      <c r="AR17" s="86">
        <f t="shared" si="25"/>
        <v>50009.8</v>
      </c>
      <c r="AS17" s="86">
        <f t="shared" si="26"/>
        <v>300058.8</v>
      </c>
      <c r="AT17" s="86">
        <f t="shared" si="27"/>
        <v>10502.057999999999</v>
      </c>
      <c r="AU17" s="86">
        <f t="shared" si="28"/>
        <v>16203.1752</v>
      </c>
      <c r="AV17" s="90">
        <f t="shared" si="29"/>
        <v>326764.03320000001</v>
      </c>
      <c r="AW17" s="76">
        <f t="shared" si="30"/>
        <v>0</v>
      </c>
    </row>
    <row r="18" spans="1:49" ht="20.100000000000001" customHeight="1">
      <c r="A18" s="61">
        <v>9</v>
      </c>
      <c r="B18" s="41">
        <v>14</v>
      </c>
      <c r="C18" s="61">
        <v>600</v>
      </c>
      <c r="D18" s="42">
        <f t="shared" si="31"/>
        <v>8.4</v>
      </c>
      <c r="E18" s="63">
        <f t="shared" si="0"/>
        <v>47255.288142857135</v>
      </c>
      <c r="F18" s="89">
        <v>396944.42039999994</v>
      </c>
      <c r="G18" s="63">
        <v>78000</v>
      </c>
      <c r="H18" s="63">
        <f t="shared" si="32"/>
        <v>318944.42039999994</v>
      </c>
      <c r="I18" s="62">
        <f t="shared" si="1"/>
        <v>42</v>
      </c>
      <c r="J18" s="64">
        <f t="shared" si="2"/>
        <v>2520</v>
      </c>
      <c r="K18" s="64">
        <f t="shared" si="3"/>
        <v>20160</v>
      </c>
      <c r="L18" s="64">
        <v>6</v>
      </c>
      <c r="M18" s="87" t="str">
        <f t="shared" si="4"/>
        <v>8.4 KW</v>
      </c>
      <c r="N18" s="86">
        <f t="shared" si="5"/>
        <v>196560</v>
      </c>
      <c r="O18" s="86">
        <v>52000</v>
      </c>
      <c r="P18" s="90">
        <f t="shared" si="6"/>
        <v>8640</v>
      </c>
      <c r="Q18" s="90">
        <f t="shared" si="7"/>
        <v>7200</v>
      </c>
      <c r="R18" s="90">
        <f t="shared" si="8"/>
        <v>420</v>
      </c>
      <c r="S18" s="90">
        <f t="shared" si="9"/>
        <v>728</v>
      </c>
      <c r="T18" s="90">
        <f t="shared" si="10"/>
        <v>480</v>
      </c>
      <c r="U18" s="90">
        <f t="shared" si="11"/>
        <v>425</v>
      </c>
      <c r="V18" s="86">
        <f t="shared" si="12"/>
        <v>17893</v>
      </c>
      <c r="W18" s="86">
        <f>$W$9*(D18*1000)</f>
        <v>3360</v>
      </c>
      <c r="X18" s="86">
        <f t="shared" si="13"/>
        <v>3360</v>
      </c>
      <c r="Y18" s="86">
        <v>0</v>
      </c>
      <c r="Z18" s="86">
        <v>0</v>
      </c>
      <c r="AA18" s="86">
        <v>0</v>
      </c>
      <c r="AB18" s="86">
        <v>0</v>
      </c>
      <c r="AC18" s="86">
        <f t="shared" ref="AC18:AC19" si="42">$L$23*$AC$9</f>
        <v>3600</v>
      </c>
      <c r="AD18" s="86">
        <f t="shared" si="36"/>
        <v>0</v>
      </c>
      <c r="AE18" s="86">
        <f t="shared" ref="AE18:AE19" si="43">$L$25*$AE$9</f>
        <v>3150</v>
      </c>
      <c r="AF18" s="86">
        <f t="shared" ref="AF18:AF19" si="44">$L$26*$AF$9</f>
        <v>360</v>
      </c>
      <c r="AG18" s="86">
        <v>0</v>
      </c>
      <c r="AH18" s="86">
        <f t="shared" ref="AH18:AH19" si="45">$L$27*$AH$9</f>
        <v>2250</v>
      </c>
      <c r="AI18" s="86">
        <f t="shared" si="19"/>
        <v>9360</v>
      </c>
      <c r="AJ18" s="86">
        <f t="shared" si="20"/>
        <v>1200</v>
      </c>
      <c r="AK18" s="86">
        <f t="shared" si="34"/>
        <v>5040</v>
      </c>
      <c r="AL18" s="86">
        <v>700</v>
      </c>
      <c r="AM18" s="86">
        <v>0</v>
      </c>
      <c r="AN18" s="86">
        <f t="shared" si="22"/>
        <v>5040</v>
      </c>
      <c r="AO18" s="86">
        <f t="shared" si="35"/>
        <v>9240</v>
      </c>
      <c r="AP18" s="86">
        <f t="shared" si="23"/>
        <v>8400</v>
      </c>
      <c r="AQ18" s="86">
        <f t="shared" si="24"/>
        <v>303753</v>
      </c>
      <c r="AR18" s="86">
        <f t="shared" si="25"/>
        <v>60750.600000000006</v>
      </c>
      <c r="AS18" s="86">
        <f t="shared" si="26"/>
        <v>364503.6</v>
      </c>
      <c r="AT18" s="86">
        <f t="shared" si="27"/>
        <v>12757.625999999998</v>
      </c>
      <c r="AU18" s="86">
        <f t="shared" si="28"/>
        <v>19683.194399999997</v>
      </c>
      <c r="AV18" s="90">
        <f t="shared" si="29"/>
        <v>396944.42039999994</v>
      </c>
      <c r="AW18" s="76">
        <f t="shared" si="30"/>
        <v>0</v>
      </c>
    </row>
    <row r="19" spans="1:49" ht="20.100000000000001" customHeight="1" thickBot="1">
      <c r="A19" s="61">
        <v>10</v>
      </c>
      <c r="B19" s="41">
        <v>16</v>
      </c>
      <c r="C19" s="61">
        <v>600</v>
      </c>
      <c r="D19" s="42">
        <f t="shared" si="31"/>
        <v>9.6</v>
      </c>
      <c r="E19" s="63">
        <f t="shared" si="0"/>
        <v>46343.347874999999</v>
      </c>
      <c r="F19" s="89">
        <v>444896.13959999999</v>
      </c>
      <c r="G19" s="63">
        <v>78000</v>
      </c>
      <c r="H19" s="63">
        <f t="shared" si="32"/>
        <v>366896.13959999999</v>
      </c>
      <c r="I19" s="62">
        <f t="shared" si="1"/>
        <v>48</v>
      </c>
      <c r="J19" s="64">
        <f t="shared" si="2"/>
        <v>2880</v>
      </c>
      <c r="K19" s="64">
        <f t="shared" si="3"/>
        <v>23040</v>
      </c>
      <c r="L19" s="64">
        <v>7</v>
      </c>
      <c r="M19" s="87" t="str">
        <f t="shared" si="4"/>
        <v>9.6 KW</v>
      </c>
      <c r="N19" s="86">
        <f t="shared" si="5"/>
        <v>224640</v>
      </c>
      <c r="O19" s="86">
        <v>54000</v>
      </c>
      <c r="P19" s="90">
        <f t="shared" si="6"/>
        <v>10080</v>
      </c>
      <c r="Q19" s="90">
        <f t="shared" si="7"/>
        <v>8400</v>
      </c>
      <c r="R19" s="90">
        <f t="shared" si="8"/>
        <v>490</v>
      </c>
      <c r="S19" s="90">
        <f t="shared" si="9"/>
        <v>832</v>
      </c>
      <c r="T19" s="90">
        <f t="shared" si="10"/>
        <v>560</v>
      </c>
      <c r="U19" s="90">
        <f t="shared" si="11"/>
        <v>425</v>
      </c>
      <c r="V19" s="86">
        <f t="shared" si="12"/>
        <v>20787</v>
      </c>
      <c r="W19" s="86">
        <f t="shared" si="33"/>
        <v>3840</v>
      </c>
      <c r="X19" s="86">
        <f t="shared" si="13"/>
        <v>3840</v>
      </c>
      <c r="Y19" s="86">
        <v>0</v>
      </c>
      <c r="Z19" s="86">
        <v>0</v>
      </c>
      <c r="AA19" s="86">
        <v>0</v>
      </c>
      <c r="AB19" s="86">
        <v>0</v>
      </c>
      <c r="AC19" s="86">
        <f t="shared" si="42"/>
        <v>3600</v>
      </c>
      <c r="AD19" s="86">
        <f t="shared" si="36"/>
        <v>0</v>
      </c>
      <c r="AE19" s="86">
        <f t="shared" si="43"/>
        <v>3150</v>
      </c>
      <c r="AF19" s="86">
        <f t="shared" si="44"/>
        <v>360</v>
      </c>
      <c r="AG19" s="86">
        <v>0</v>
      </c>
      <c r="AH19" s="86">
        <f t="shared" si="45"/>
        <v>2250</v>
      </c>
      <c r="AI19" s="86">
        <f t="shared" si="19"/>
        <v>9360</v>
      </c>
      <c r="AJ19" s="86">
        <f t="shared" si="20"/>
        <v>1200</v>
      </c>
      <c r="AK19" s="86">
        <f t="shared" si="34"/>
        <v>5760</v>
      </c>
      <c r="AL19" s="86">
        <v>700</v>
      </c>
      <c r="AM19" s="86">
        <v>0</v>
      </c>
      <c r="AN19" s="86">
        <f t="shared" si="22"/>
        <v>5760</v>
      </c>
      <c r="AO19" s="86">
        <f t="shared" si="35"/>
        <v>10560</v>
      </c>
      <c r="AP19" s="86">
        <f t="shared" si="23"/>
        <v>9600</v>
      </c>
      <c r="AQ19" s="86">
        <f t="shared" si="24"/>
        <v>340447</v>
      </c>
      <c r="AR19" s="86">
        <f t="shared" si="25"/>
        <v>68089.400000000009</v>
      </c>
      <c r="AS19" s="86">
        <f t="shared" si="26"/>
        <v>408536.4</v>
      </c>
      <c r="AT19" s="86">
        <f t="shared" si="27"/>
        <v>14298.773999999999</v>
      </c>
      <c r="AU19" s="86">
        <f t="shared" si="28"/>
        <v>22060.9656</v>
      </c>
      <c r="AV19" s="90">
        <f t="shared" si="29"/>
        <v>444896.13959999999</v>
      </c>
      <c r="AW19" s="76">
        <f t="shared" si="30"/>
        <v>0</v>
      </c>
    </row>
    <row r="20" spans="1:49" ht="20.100000000000001" customHeight="1" thickTop="1" thickBot="1">
      <c r="A20" s="245" t="s">
        <v>167</v>
      </c>
      <c r="B20" s="246"/>
      <c r="C20" s="246"/>
      <c r="D20" s="246"/>
      <c r="E20" s="246"/>
      <c r="F20" s="246"/>
      <c r="G20" s="246"/>
      <c r="H20" s="246"/>
      <c r="I20" s="246"/>
      <c r="J20" s="246"/>
      <c r="K20" s="246"/>
      <c r="L20" s="247"/>
      <c r="M20" s="289" t="s">
        <v>269</v>
      </c>
      <c r="N20" s="290"/>
      <c r="O20" s="75">
        <v>15800</v>
      </c>
    </row>
    <row r="21" spans="1:49" ht="20.100000000000001" customHeight="1" thickTop="1">
      <c r="A21" s="262" t="s">
        <v>251</v>
      </c>
      <c r="B21" s="263"/>
      <c r="C21" s="263"/>
      <c r="D21" s="264"/>
      <c r="E21" s="262" t="s">
        <v>252</v>
      </c>
      <c r="F21" s="263"/>
      <c r="G21" s="263"/>
      <c r="H21" s="264"/>
      <c r="I21" s="262" t="s">
        <v>253</v>
      </c>
      <c r="J21" s="263"/>
      <c r="K21" s="263"/>
      <c r="L21" s="264"/>
      <c r="M21" s="289" t="s">
        <v>270</v>
      </c>
      <c r="N21" s="290"/>
      <c r="O21" s="75">
        <v>15800</v>
      </c>
      <c r="Q21" s="76"/>
    </row>
    <row r="22" spans="1:49" ht="20.100000000000001" customHeight="1">
      <c r="A22" s="248" t="s">
        <v>258</v>
      </c>
      <c r="B22" s="249"/>
      <c r="C22" s="249"/>
      <c r="D22" s="74" t="s">
        <v>338</v>
      </c>
      <c r="E22" s="248" t="s">
        <v>258</v>
      </c>
      <c r="F22" s="249"/>
      <c r="G22" s="249"/>
      <c r="H22" s="74" t="s">
        <v>338</v>
      </c>
      <c r="I22" s="248" t="s">
        <v>258</v>
      </c>
      <c r="J22" s="249"/>
      <c r="K22" s="249"/>
      <c r="L22" s="74" t="s">
        <v>338</v>
      </c>
      <c r="M22" s="289" t="s">
        <v>271</v>
      </c>
      <c r="N22" s="290"/>
      <c r="O22" s="75">
        <v>24500</v>
      </c>
    </row>
    <row r="23" spans="1:49" ht="20.100000000000001" customHeight="1">
      <c r="A23" s="256" t="s">
        <v>206</v>
      </c>
      <c r="B23" s="257"/>
      <c r="C23" s="257"/>
      <c r="D23" s="93">
        <v>15</v>
      </c>
      <c r="E23" s="256" t="s">
        <v>214</v>
      </c>
      <c r="F23" s="257"/>
      <c r="G23" s="257"/>
      <c r="H23" s="93">
        <v>15</v>
      </c>
      <c r="I23" s="256" t="s">
        <v>369</v>
      </c>
      <c r="J23" s="257"/>
      <c r="K23" s="257"/>
      <c r="L23" s="93">
        <v>18</v>
      </c>
      <c r="M23" s="289" t="s">
        <v>272</v>
      </c>
      <c r="N23" s="290"/>
      <c r="O23" s="75">
        <v>29000</v>
      </c>
    </row>
    <row r="24" spans="1:49" ht="24.95" customHeight="1">
      <c r="A24" s="256" t="s">
        <v>205</v>
      </c>
      <c r="B24" s="257"/>
      <c r="C24" s="257"/>
      <c r="D24" s="93">
        <v>40</v>
      </c>
      <c r="E24" s="256" t="s">
        <v>215</v>
      </c>
      <c r="F24" s="257"/>
      <c r="G24" s="257"/>
      <c r="H24" s="93">
        <v>50</v>
      </c>
      <c r="I24" s="256" t="s">
        <v>215</v>
      </c>
      <c r="J24" s="257"/>
      <c r="K24" s="257"/>
      <c r="L24" s="93">
        <v>70</v>
      </c>
      <c r="M24" s="289" t="s">
        <v>273</v>
      </c>
      <c r="N24" s="290"/>
      <c r="O24" s="75">
        <v>30000</v>
      </c>
    </row>
    <row r="25" spans="1:49" ht="20.100000000000001" customHeight="1">
      <c r="A25" s="256" t="s">
        <v>207</v>
      </c>
      <c r="B25" s="257"/>
      <c r="C25" s="257"/>
      <c r="D25" s="93">
        <v>70</v>
      </c>
      <c r="E25" s="256" t="s">
        <v>216</v>
      </c>
      <c r="F25" s="257"/>
      <c r="G25" s="257"/>
      <c r="H25" s="93">
        <v>70</v>
      </c>
      <c r="I25" s="256" t="s">
        <v>216</v>
      </c>
      <c r="J25" s="257"/>
      <c r="K25" s="257"/>
      <c r="L25" s="93">
        <v>70</v>
      </c>
      <c r="M25" s="289" t="s">
        <v>274</v>
      </c>
      <c r="N25" s="290"/>
      <c r="O25" s="75"/>
    </row>
    <row r="26" spans="1:49" ht="20.100000000000001" customHeight="1">
      <c r="A26" s="256" t="s">
        <v>208</v>
      </c>
      <c r="B26" s="257"/>
      <c r="C26" s="257"/>
      <c r="D26" s="93">
        <v>20</v>
      </c>
      <c r="E26" s="256" t="s">
        <v>208</v>
      </c>
      <c r="F26" s="257"/>
      <c r="G26" s="257"/>
      <c r="H26" s="93">
        <v>20</v>
      </c>
      <c r="I26" s="256" t="s">
        <v>208</v>
      </c>
      <c r="J26" s="257"/>
      <c r="K26" s="257"/>
      <c r="L26" s="93">
        <v>20</v>
      </c>
      <c r="M26" s="289" t="s">
        <v>275</v>
      </c>
      <c r="N26" s="290"/>
      <c r="O26" s="75">
        <v>47000</v>
      </c>
    </row>
    <row r="27" spans="1:49" ht="20.100000000000001" customHeight="1">
      <c r="A27" s="256" t="s">
        <v>339</v>
      </c>
      <c r="B27" s="257"/>
      <c r="C27" s="257"/>
      <c r="D27" s="93">
        <v>20</v>
      </c>
      <c r="E27" s="256" t="s">
        <v>342</v>
      </c>
      <c r="F27" s="257"/>
      <c r="G27" s="257"/>
      <c r="H27" s="93">
        <v>25</v>
      </c>
      <c r="I27" s="256" t="s">
        <v>342</v>
      </c>
      <c r="J27" s="257"/>
      <c r="K27" s="257"/>
      <c r="L27" s="93">
        <v>30</v>
      </c>
      <c r="M27" s="289" t="s">
        <v>276</v>
      </c>
      <c r="N27" s="290"/>
      <c r="O27" s="75">
        <v>51500</v>
      </c>
    </row>
    <row r="28" spans="1:49" ht="20.100000000000001" customHeight="1">
      <c r="A28" s="256" t="s">
        <v>340</v>
      </c>
      <c r="B28" s="257"/>
      <c r="C28" s="257"/>
      <c r="D28" s="93">
        <v>15</v>
      </c>
      <c r="E28" s="256" t="s">
        <v>343</v>
      </c>
      <c r="F28" s="257"/>
      <c r="G28" s="257"/>
      <c r="H28" s="93">
        <v>20</v>
      </c>
      <c r="I28" s="256" t="s">
        <v>343</v>
      </c>
      <c r="J28" s="257"/>
      <c r="K28" s="257"/>
      <c r="L28" s="93">
        <v>20</v>
      </c>
      <c r="M28" s="291" t="s">
        <v>277</v>
      </c>
      <c r="N28" s="290"/>
      <c r="O28" s="75">
        <v>53500</v>
      </c>
    </row>
    <row r="29" spans="1:49" ht="20.100000000000001" customHeight="1" thickBot="1">
      <c r="A29" s="258" t="s">
        <v>341</v>
      </c>
      <c r="B29" s="259"/>
      <c r="C29" s="259"/>
      <c r="D29" s="94">
        <v>5</v>
      </c>
      <c r="E29" s="258" t="s">
        <v>344</v>
      </c>
      <c r="F29" s="259"/>
      <c r="G29" s="259"/>
      <c r="H29" s="94">
        <v>7</v>
      </c>
      <c r="I29" s="258" t="s">
        <v>344</v>
      </c>
      <c r="J29" s="259"/>
      <c r="K29" s="259"/>
      <c r="L29" s="94">
        <v>7</v>
      </c>
    </row>
    <row r="30" spans="1:49" ht="20.100000000000001" customHeight="1" thickTop="1" thickBot="1">
      <c r="A30" s="253" t="s">
        <v>55</v>
      </c>
      <c r="B30" s="254"/>
      <c r="C30" s="254"/>
      <c r="D30" s="255"/>
      <c r="E30" s="253" t="s">
        <v>56</v>
      </c>
      <c r="F30" s="254"/>
      <c r="G30" s="255"/>
      <c r="H30" s="253" t="s">
        <v>236</v>
      </c>
      <c r="I30" s="254"/>
      <c r="J30" s="254"/>
      <c r="K30" s="254"/>
      <c r="L30" s="255"/>
    </row>
    <row r="31" spans="1:49" ht="20.100000000000001" customHeight="1" thickTop="1">
      <c r="A31" s="271" t="s">
        <v>227</v>
      </c>
      <c r="B31" s="272"/>
      <c r="C31" s="272" t="s">
        <v>63</v>
      </c>
      <c r="D31" s="273"/>
      <c r="E31" s="53">
        <v>1</v>
      </c>
      <c r="F31" s="260" t="s">
        <v>233</v>
      </c>
      <c r="G31" s="261"/>
      <c r="H31" s="268" t="s">
        <v>237</v>
      </c>
      <c r="I31" s="269"/>
      <c r="J31" s="269" t="s">
        <v>310</v>
      </c>
      <c r="K31" s="269"/>
      <c r="L31" s="270"/>
    </row>
    <row r="32" spans="1:49" ht="20.100000000000001" customHeight="1">
      <c r="A32" s="271" t="s">
        <v>228</v>
      </c>
      <c r="B32" s="272"/>
      <c r="C32" s="272" t="s">
        <v>64</v>
      </c>
      <c r="D32" s="273"/>
      <c r="E32" s="53">
        <v>2</v>
      </c>
      <c r="F32" s="260" t="s">
        <v>192</v>
      </c>
      <c r="G32" s="261"/>
      <c r="H32" s="268" t="s">
        <v>238</v>
      </c>
      <c r="I32" s="269"/>
      <c r="J32" s="269" t="s">
        <v>196</v>
      </c>
      <c r="K32" s="269"/>
      <c r="L32" s="270"/>
    </row>
    <row r="33" spans="1:12" ht="20.100000000000001" customHeight="1">
      <c r="A33" s="271" t="s">
        <v>229</v>
      </c>
      <c r="B33" s="272"/>
      <c r="C33" s="275" t="s">
        <v>66</v>
      </c>
      <c r="D33" s="276"/>
      <c r="E33" s="53">
        <v>3</v>
      </c>
      <c r="F33" s="260" t="s">
        <v>234</v>
      </c>
      <c r="G33" s="261"/>
      <c r="H33" s="268" t="s">
        <v>239</v>
      </c>
      <c r="I33" s="269"/>
      <c r="J33" s="269" t="s">
        <v>242</v>
      </c>
      <c r="K33" s="269"/>
      <c r="L33" s="270"/>
    </row>
    <row r="34" spans="1:12" ht="24.95" customHeight="1">
      <c r="A34" s="271" t="s">
        <v>232</v>
      </c>
      <c r="B34" s="272"/>
      <c r="C34" s="275" t="s">
        <v>65</v>
      </c>
      <c r="D34" s="276"/>
      <c r="E34" s="53">
        <v>4</v>
      </c>
      <c r="F34" s="260" t="s">
        <v>235</v>
      </c>
      <c r="G34" s="261"/>
      <c r="H34" s="268" t="s">
        <v>240</v>
      </c>
      <c r="I34" s="269"/>
      <c r="J34" s="269" t="s">
        <v>309</v>
      </c>
      <c r="K34" s="269"/>
      <c r="L34" s="270"/>
    </row>
    <row r="35" spans="1:12" ht="15.75" customHeight="1">
      <c r="A35" s="271" t="s">
        <v>230</v>
      </c>
      <c r="B35" s="272"/>
      <c r="C35" s="272" t="s">
        <v>67</v>
      </c>
      <c r="D35" s="273"/>
      <c r="E35" s="58"/>
      <c r="F35" s="260"/>
      <c r="G35" s="261"/>
      <c r="H35" s="268" t="s">
        <v>36</v>
      </c>
      <c r="I35" s="269"/>
      <c r="J35" s="269" t="s">
        <v>300</v>
      </c>
      <c r="K35" s="269"/>
      <c r="L35" s="270"/>
    </row>
    <row r="36" spans="1:12" ht="16.5" thickBot="1">
      <c r="A36" s="271" t="s">
        <v>231</v>
      </c>
      <c r="B36" s="272"/>
      <c r="C36" s="272" t="s">
        <v>68</v>
      </c>
      <c r="D36" s="273"/>
      <c r="E36" s="58"/>
      <c r="F36" s="260"/>
      <c r="G36" s="261"/>
      <c r="H36" s="268" t="s">
        <v>245</v>
      </c>
      <c r="I36" s="269"/>
      <c r="J36" s="269" t="s">
        <v>246</v>
      </c>
      <c r="K36" s="269"/>
      <c r="L36" s="270"/>
    </row>
    <row r="37" spans="1:12" ht="17.25" thickTop="1" thickBot="1">
      <c r="A37" s="245" t="s">
        <v>74</v>
      </c>
      <c r="B37" s="246"/>
      <c r="C37" s="246"/>
      <c r="D37" s="246"/>
      <c r="E37" s="246"/>
      <c r="F37" s="246"/>
      <c r="G37" s="246"/>
      <c r="H37" s="246"/>
      <c r="I37" s="246"/>
      <c r="J37" s="246"/>
      <c r="K37" s="246"/>
      <c r="L37" s="247"/>
    </row>
    <row r="38" spans="1:12" ht="15.75" customHeight="1" thickTop="1">
      <c r="A38" s="222">
        <v>1</v>
      </c>
      <c r="B38" s="267" t="s">
        <v>266</v>
      </c>
      <c r="C38" s="267"/>
      <c r="D38" s="267"/>
      <c r="E38" s="267"/>
      <c r="F38" s="267"/>
      <c r="G38" s="267"/>
      <c r="H38" s="267"/>
      <c r="I38" s="267"/>
      <c r="J38" s="267"/>
      <c r="K38" s="267"/>
      <c r="L38" s="267"/>
    </row>
    <row r="39" spans="1:12" ht="15" customHeight="1">
      <c r="A39" s="222"/>
      <c r="B39" s="267"/>
      <c r="C39" s="267"/>
      <c r="D39" s="267"/>
      <c r="E39" s="267"/>
      <c r="F39" s="267"/>
      <c r="G39" s="267"/>
      <c r="H39" s="267"/>
      <c r="I39" s="267"/>
      <c r="J39" s="267"/>
      <c r="K39" s="267"/>
      <c r="L39" s="267"/>
    </row>
    <row r="40" spans="1:12">
      <c r="A40" s="33">
        <v>2</v>
      </c>
      <c r="B40" s="260" t="s">
        <v>264</v>
      </c>
      <c r="C40" s="260"/>
      <c r="D40" s="260"/>
      <c r="E40" s="260"/>
      <c r="F40" s="260"/>
      <c r="G40" s="260"/>
      <c r="H40" s="260"/>
      <c r="I40" s="260"/>
      <c r="J40" s="260"/>
      <c r="K40" s="260"/>
      <c r="L40" s="260"/>
    </row>
    <row r="41" spans="1:12" ht="24.95" customHeight="1">
      <c r="A41" s="33">
        <v>3</v>
      </c>
      <c r="B41" s="260" t="s">
        <v>163</v>
      </c>
      <c r="C41" s="260"/>
      <c r="D41" s="260"/>
      <c r="E41" s="260"/>
      <c r="F41" s="260"/>
      <c r="G41" s="260"/>
      <c r="H41" s="260"/>
      <c r="I41" s="260"/>
      <c r="J41" s="260"/>
      <c r="K41" s="260"/>
      <c r="L41" s="260"/>
    </row>
    <row r="42" spans="1:12" ht="15.75" customHeight="1">
      <c r="A42" s="54">
        <v>4</v>
      </c>
      <c r="B42" s="260" t="s">
        <v>76</v>
      </c>
      <c r="C42" s="260"/>
      <c r="D42" s="260"/>
      <c r="E42" s="260"/>
      <c r="F42" s="260"/>
      <c r="G42" s="260"/>
      <c r="H42" s="260"/>
      <c r="I42" s="260"/>
      <c r="J42" s="260"/>
      <c r="K42" s="260"/>
      <c r="L42" s="260"/>
    </row>
    <row r="43" spans="1:12" ht="15" customHeight="1">
      <c r="A43" s="274">
        <v>5</v>
      </c>
      <c r="B43" s="267" t="s">
        <v>247</v>
      </c>
      <c r="C43" s="267"/>
      <c r="D43" s="267"/>
      <c r="E43" s="267"/>
      <c r="F43" s="267"/>
      <c r="G43" s="267"/>
      <c r="H43" s="267"/>
      <c r="I43" s="267"/>
      <c r="J43" s="267"/>
      <c r="K43" s="267"/>
      <c r="L43" s="267"/>
    </row>
    <row r="44" spans="1:12">
      <c r="A44" s="274"/>
      <c r="B44" s="267"/>
      <c r="C44" s="267"/>
      <c r="D44" s="267"/>
      <c r="E44" s="267"/>
      <c r="F44" s="267"/>
      <c r="G44" s="267"/>
      <c r="H44" s="267"/>
      <c r="I44" s="267"/>
      <c r="J44" s="267"/>
      <c r="K44" s="267"/>
      <c r="L44" s="267"/>
    </row>
    <row r="45" spans="1:12">
      <c r="A45" s="274"/>
      <c r="B45" s="267"/>
      <c r="C45" s="267"/>
      <c r="D45" s="267"/>
      <c r="E45" s="267"/>
      <c r="F45" s="267"/>
      <c r="G45" s="267"/>
      <c r="H45" s="267"/>
      <c r="I45" s="267"/>
      <c r="J45" s="267"/>
      <c r="K45" s="267"/>
      <c r="L45" s="267"/>
    </row>
    <row r="46" spans="1:12" ht="15" customHeight="1">
      <c r="A46" s="274">
        <v>6</v>
      </c>
      <c r="B46" s="267" t="s">
        <v>77</v>
      </c>
      <c r="C46" s="267"/>
      <c r="D46" s="267"/>
      <c r="E46" s="267"/>
      <c r="F46" s="267"/>
      <c r="G46" s="267"/>
      <c r="H46" s="267"/>
      <c r="I46" s="267"/>
      <c r="J46" s="267"/>
      <c r="K46" s="267"/>
      <c r="L46" s="267"/>
    </row>
    <row r="47" spans="1:12" ht="15" customHeight="1">
      <c r="A47" s="274"/>
      <c r="B47" s="267"/>
      <c r="C47" s="267"/>
      <c r="D47" s="267"/>
      <c r="E47" s="267"/>
      <c r="F47" s="267"/>
      <c r="G47" s="267"/>
      <c r="H47" s="267"/>
      <c r="I47" s="267"/>
      <c r="J47" s="267"/>
      <c r="K47" s="267"/>
      <c r="L47" s="267"/>
    </row>
    <row r="48" spans="1:12" ht="15" customHeight="1">
      <c r="A48" s="251">
        <v>7</v>
      </c>
      <c r="B48" s="252" t="s">
        <v>248</v>
      </c>
      <c r="C48" s="252"/>
      <c r="D48" s="252"/>
      <c r="E48" s="252"/>
      <c r="F48" s="252"/>
      <c r="G48" s="252"/>
      <c r="H48" s="252"/>
      <c r="I48" s="252"/>
      <c r="J48" s="252"/>
      <c r="K48" s="252"/>
      <c r="L48" s="252"/>
    </row>
    <row r="49" spans="1:12" ht="15.75" customHeight="1">
      <c r="A49" s="251"/>
      <c r="B49" s="252"/>
      <c r="C49" s="252"/>
      <c r="D49" s="252"/>
      <c r="E49" s="252"/>
      <c r="F49" s="252"/>
      <c r="G49" s="252"/>
      <c r="H49" s="252"/>
      <c r="I49" s="252"/>
      <c r="J49" s="252"/>
      <c r="K49" s="252"/>
      <c r="L49" s="252"/>
    </row>
    <row r="50" spans="1:12" ht="15.75" customHeight="1">
      <c r="A50" s="251">
        <v>8</v>
      </c>
      <c r="B50" s="250" t="s">
        <v>249</v>
      </c>
      <c r="C50" s="250"/>
      <c r="D50" s="250"/>
      <c r="E50" s="250"/>
      <c r="F50" s="250"/>
      <c r="G50" s="250"/>
      <c r="H50" s="250"/>
      <c r="I50" s="250"/>
      <c r="J50" s="250"/>
      <c r="K50" s="250"/>
      <c r="L50" s="250"/>
    </row>
    <row r="51" spans="1:12" ht="15.75" customHeight="1">
      <c r="A51" s="251"/>
      <c r="B51" s="250"/>
      <c r="C51" s="250"/>
      <c r="D51" s="250"/>
      <c r="E51" s="250"/>
      <c r="F51" s="250"/>
      <c r="G51" s="250"/>
      <c r="H51" s="250"/>
      <c r="I51" s="250"/>
      <c r="J51" s="250"/>
      <c r="K51" s="250"/>
      <c r="L51" s="250"/>
    </row>
    <row r="52" spans="1:12" ht="15.75" customHeight="1">
      <c r="A52" s="251"/>
      <c r="B52" s="250"/>
      <c r="C52" s="250"/>
      <c r="D52" s="250"/>
      <c r="E52" s="250"/>
      <c r="F52" s="250"/>
      <c r="G52" s="250"/>
      <c r="H52" s="250"/>
      <c r="I52" s="250"/>
      <c r="J52" s="250"/>
      <c r="K52" s="250"/>
      <c r="L52" s="250"/>
    </row>
    <row r="53" spans="1:12" ht="15.75" customHeight="1">
      <c r="A53" s="251">
        <v>9</v>
      </c>
      <c r="B53" s="250" t="s">
        <v>250</v>
      </c>
      <c r="C53" s="250"/>
      <c r="D53" s="250"/>
      <c r="E53" s="250"/>
      <c r="F53" s="250"/>
      <c r="G53" s="250"/>
      <c r="H53" s="250"/>
      <c r="I53" s="250"/>
      <c r="J53" s="250"/>
      <c r="K53" s="250"/>
      <c r="L53" s="250"/>
    </row>
    <row r="54" spans="1:12" ht="15.75" customHeight="1">
      <c r="A54" s="251"/>
      <c r="B54" s="250"/>
      <c r="C54" s="250"/>
      <c r="D54" s="250"/>
      <c r="E54" s="250"/>
      <c r="F54" s="250"/>
      <c r="G54" s="250"/>
      <c r="H54" s="250"/>
      <c r="I54" s="250"/>
      <c r="J54" s="250"/>
      <c r="K54" s="250"/>
      <c r="L54" s="250"/>
    </row>
    <row r="55" spans="1:12" ht="15" customHeight="1">
      <c r="A55" s="222">
        <v>10</v>
      </c>
      <c r="B55" s="267" t="s">
        <v>247</v>
      </c>
      <c r="C55" s="260"/>
      <c r="D55" s="260"/>
      <c r="E55" s="260"/>
      <c r="F55" s="260"/>
      <c r="G55" s="260"/>
      <c r="H55" s="260"/>
      <c r="I55" s="260"/>
      <c r="J55" s="260"/>
      <c r="K55" s="260"/>
      <c r="L55" s="260"/>
    </row>
    <row r="56" spans="1:12" ht="15" customHeight="1">
      <c r="A56" s="222"/>
      <c r="B56" s="260"/>
      <c r="C56" s="260"/>
      <c r="D56" s="260"/>
      <c r="E56" s="260"/>
      <c r="F56" s="260"/>
      <c r="G56" s="260"/>
      <c r="H56" s="260"/>
      <c r="I56" s="260"/>
      <c r="J56" s="260"/>
      <c r="K56" s="260"/>
      <c r="L56" s="260"/>
    </row>
    <row r="57" spans="1:12" ht="15" customHeight="1">
      <c r="A57" s="222"/>
      <c r="B57" s="260"/>
      <c r="C57" s="260"/>
      <c r="D57" s="260"/>
      <c r="E57" s="260"/>
      <c r="F57" s="260"/>
      <c r="G57" s="260"/>
      <c r="H57" s="260"/>
      <c r="I57" s="260"/>
      <c r="J57" s="260"/>
      <c r="K57" s="260"/>
      <c r="L57" s="260"/>
    </row>
    <row r="58" spans="1:12" ht="15" customHeight="1">
      <c r="A58" s="55">
        <v>11</v>
      </c>
      <c r="B58" s="252" t="s">
        <v>254</v>
      </c>
      <c r="C58" s="252"/>
      <c r="D58" s="252"/>
      <c r="E58" s="252"/>
      <c r="F58" s="252"/>
      <c r="G58" s="252"/>
      <c r="H58" s="252"/>
      <c r="I58" s="252"/>
      <c r="J58" s="252"/>
      <c r="K58" s="252"/>
      <c r="L58" s="252"/>
    </row>
    <row r="59" spans="1:12" ht="15" customHeight="1">
      <c r="A59" s="244">
        <v>12</v>
      </c>
      <c r="B59" s="243" t="s">
        <v>260</v>
      </c>
      <c r="C59" s="243"/>
      <c r="D59" s="243"/>
      <c r="E59" s="243"/>
      <c r="F59" s="243"/>
      <c r="G59" s="243"/>
      <c r="H59" s="243"/>
      <c r="I59" s="243"/>
      <c r="J59" s="243"/>
      <c r="K59" s="243"/>
      <c r="L59" s="243"/>
    </row>
    <row r="60" spans="1:12" ht="15" customHeight="1">
      <c r="A60" s="244"/>
      <c r="B60" s="243"/>
      <c r="C60" s="243"/>
      <c r="D60" s="243"/>
      <c r="E60" s="243"/>
      <c r="F60" s="243"/>
      <c r="G60" s="243"/>
      <c r="H60" s="243"/>
      <c r="I60" s="243"/>
      <c r="J60" s="243"/>
      <c r="K60" s="243"/>
      <c r="L60" s="243"/>
    </row>
    <row r="61" spans="1:12" ht="15" customHeight="1"/>
  </sheetData>
  <mergeCells count="128">
    <mergeCell ref="W5:W8"/>
    <mergeCell ref="X5:X8"/>
    <mergeCell ref="P5:V7"/>
    <mergeCell ref="Y5:AI7"/>
    <mergeCell ref="AJ5:AJ8"/>
    <mergeCell ref="AK5:AK8"/>
    <mergeCell ref="AL5:AL8"/>
    <mergeCell ref="AM5:AM8"/>
    <mergeCell ref="AN5:AN8"/>
    <mergeCell ref="AO5:AO8"/>
    <mergeCell ref="AP5:AP8"/>
    <mergeCell ref="AQ5:AQ9"/>
    <mergeCell ref="AR5:AR8"/>
    <mergeCell ref="A59:A60"/>
    <mergeCell ref="B59:L60"/>
    <mergeCell ref="A55:A57"/>
    <mergeCell ref="B55:L57"/>
    <mergeCell ref="B58:L58"/>
    <mergeCell ref="A50:A52"/>
    <mergeCell ref="B50:L52"/>
    <mergeCell ref="A53:A54"/>
    <mergeCell ref="B53:L54"/>
    <mergeCell ref="A46:A47"/>
    <mergeCell ref="B46:L47"/>
    <mergeCell ref="A48:A49"/>
    <mergeCell ref="B40:L40"/>
    <mergeCell ref="A37:L37"/>
    <mergeCell ref="B48:L49"/>
    <mergeCell ref="B41:L41"/>
    <mergeCell ref="B42:L42"/>
    <mergeCell ref="A43:A45"/>
    <mergeCell ref="B43:L45"/>
    <mergeCell ref="A36:B36"/>
    <mergeCell ref="C36:D36"/>
    <mergeCell ref="F36:G36"/>
    <mergeCell ref="H36:I36"/>
    <mergeCell ref="J36:L36"/>
    <mergeCell ref="A38:A39"/>
    <mergeCell ref="B38:L39"/>
    <mergeCell ref="A35:B35"/>
    <mergeCell ref="C35:D35"/>
    <mergeCell ref="F35:G35"/>
    <mergeCell ref="H35:I35"/>
    <mergeCell ref="J35:L35"/>
    <mergeCell ref="A34:B34"/>
    <mergeCell ref="C34:D34"/>
    <mergeCell ref="F34:G34"/>
    <mergeCell ref="H34:I34"/>
    <mergeCell ref="J34:L34"/>
    <mergeCell ref="A33:B33"/>
    <mergeCell ref="C33:D33"/>
    <mergeCell ref="F33:G33"/>
    <mergeCell ref="H33:I33"/>
    <mergeCell ref="J33:L33"/>
    <mergeCell ref="A32:B32"/>
    <mergeCell ref="C32:D32"/>
    <mergeCell ref="F32:G32"/>
    <mergeCell ref="H32:I32"/>
    <mergeCell ref="J32:L32"/>
    <mergeCell ref="A31:B31"/>
    <mergeCell ref="C31:D31"/>
    <mergeCell ref="F31:G31"/>
    <mergeCell ref="H31:I31"/>
    <mergeCell ref="J31:L31"/>
    <mergeCell ref="A30:D30"/>
    <mergeCell ref="E30:G30"/>
    <mergeCell ref="H30:L30"/>
    <mergeCell ref="A29:C29"/>
    <mergeCell ref="E29:G29"/>
    <mergeCell ref="I29:K29"/>
    <mergeCell ref="A28:C28"/>
    <mergeCell ref="E28:G28"/>
    <mergeCell ref="I28:K28"/>
    <mergeCell ref="M28:N28"/>
    <mergeCell ref="A27:C27"/>
    <mergeCell ref="E27:G27"/>
    <mergeCell ref="I27:K27"/>
    <mergeCell ref="M27:N27"/>
    <mergeCell ref="A26:C26"/>
    <mergeCell ref="E26:G26"/>
    <mergeCell ref="I26:K26"/>
    <mergeCell ref="M26:N26"/>
    <mergeCell ref="A25:C25"/>
    <mergeCell ref="E25:G25"/>
    <mergeCell ref="I25:K25"/>
    <mergeCell ref="M25:N25"/>
    <mergeCell ref="A24:C24"/>
    <mergeCell ref="E24:G24"/>
    <mergeCell ref="I24:K24"/>
    <mergeCell ref="M24:N24"/>
    <mergeCell ref="A23:C23"/>
    <mergeCell ref="E23:G23"/>
    <mergeCell ref="I23:K23"/>
    <mergeCell ref="M23:N23"/>
    <mergeCell ref="A22:C22"/>
    <mergeCell ref="E22:G22"/>
    <mergeCell ref="I22:K22"/>
    <mergeCell ref="M22:N22"/>
    <mergeCell ref="A20:L20"/>
    <mergeCell ref="M20:N20"/>
    <mergeCell ref="A21:D21"/>
    <mergeCell ref="E21:H21"/>
    <mergeCell ref="I21:L21"/>
    <mergeCell ref="M21:N21"/>
    <mergeCell ref="A1:L1"/>
    <mergeCell ref="AJ1:AU1"/>
    <mergeCell ref="A2:L2"/>
    <mergeCell ref="A3:A4"/>
    <mergeCell ref="B3:G4"/>
    <mergeCell ref="H3:I4"/>
    <mergeCell ref="J3:L4"/>
    <mergeCell ref="M2:AV4"/>
    <mergeCell ref="A5:A6"/>
    <mergeCell ref="B5:G6"/>
    <mergeCell ref="H5:I6"/>
    <mergeCell ref="J5:L6"/>
    <mergeCell ref="M5:M8"/>
    <mergeCell ref="N5:N8"/>
    <mergeCell ref="O5:O8"/>
    <mergeCell ref="B8:D8"/>
    <mergeCell ref="E8:H8"/>
    <mergeCell ref="I8:K8"/>
    <mergeCell ref="AS5:AS8"/>
    <mergeCell ref="AT5:AT8"/>
    <mergeCell ref="AU5:AU8"/>
    <mergeCell ref="AV5:AV8"/>
    <mergeCell ref="V8:V9"/>
    <mergeCell ref="AI8:AI9"/>
  </mergeCells>
  <printOptions horizontalCentered="1"/>
  <pageMargins left="0.23622047244094491" right="0.23622047244094491" top="1.0629921259842521" bottom="0.19685039370078741" header="0.31496062992125984" footer="0.11811023622047245"/>
  <pageSetup paperSize="9" scale="61" orientation="portrait" horizontalDpi="4294967293" verticalDpi="0" r:id="rId1"/>
  <headerFooter>
    <oddHeader>&amp;L&amp;G&amp;C&amp;"Bookman Old Style,Bold"&amp;22&amp;K08+000HI - TECH&amp;K01+000
&amp;K05+000SOLAR SOLUTION&amp;"-,Regular"&amp;11&amp;K01+000
&amp;"Book Antiqua,Regular"&amp;9Solutions You Can Trust.
&amp;"Times New Roman,Bold"&amp;10GSTIN : 24AAPFH9566D1Z1
&amp;RM ; &amp;U8140535380&amp;U
Er. Ilyas Kaydawala
&amp;D</oddHeader>
    <oddFooter>&amp;C&amp;"Times New Roman,Bold"OFFICE - 2nd Floor Gujarat Light, Nr Mahila Police Station, Godhra Road, Dahod - 389151</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16CA8-BC3A-4640-A30B-78BC05B0A9CA}">
  <dimension ref="A1:H36"/>
  <sheetViews>
    <sheetView tabSelected="1" workbookViewId="0">
      <selection activeCell="D4" sqref="D4"/>
    </sheetView>
  </sheetViews>
  <sheetFormatPr defaultRowHeight="15"/>
  <cols>
    <col min="4" max="4" width="13.85546875" bestFit="1" customWidth="1"/>
    <col min="7" max="7" width="12.7109375" bestFit="1" customWidth="1"/>
    <col min="8" max="8" width="16.42578125" bestFit="1" customWidth="1"/>
  </cols>
  <sheetData>
    <row r="1" spans="1:8" ht="63">
      <c r="A1" s="69" t="s">
        <v>96</v>
      </c>
      <c r="B1" s="70" t="s">
        <v>97</v>
      </c>
      <c r="C1" s="70" t="s">
        <v>188</v>
      </c>
      <c r="D1" t="s">
        <v>373</v>
      </c>
    </row>
    <row r="2" spans="1:8" ht="17.25">
      <c r="A2" s="41">
        <v>4</v>
      </c>
      <c r="B2" s="61">
        <v>550</v>
      </c>
      <c r="C2" s="42">
        <v>2.2000000000000002</v>
      </c>
      <c r="D2" t="s">
        <v>372</v>
      </c>
    </row>
    <row r="3" spans="1:8" ht="17.25">
      <c r="A3" s="41">
        <v>4</v>
      </c>
      <c r="B3" s="61">
        <v>600</v>
      </c>
      <c r="C3" s="42">
        <f>B3*A3/1000</f>
        <v>2.4</v>
      </c>
      <c r="D3" t="s">
        <v>370</v>
      </c>
    </row>
    <row r="4" spans="1:8" ht="17.25">
      <c r="A4" s="41">
        <v>4</v>
      </c>
      <c r="B4" s="61">
        <v>620</v>
      </c>
      <c r="C4" s="41">
        <v>2.48</v>
      </c>
      <c r="D4" t="s">
        <v>371</v>
      </c>
      <c r="G4" t="s">
        <v>378</v>
      </c>
    </row>
    <row r="5" spans="1:8" ht="17.25">
      <c r="A5" s="41">
        <v>5</v>
      </c>
      <c r="B5" s="61">
        <v>550</v>
      </c>
      <c r="C5" s="42">
        <v>2.75</v>
      </c>
      <c r="D5" t="s">
        <v>372</v>
      </c>
      <c r="G5" t="s">
        <v>25</v>
      </c>
    </row>
    <row r="6" spans="1:8" ht="17.25">
      <c r="A6" s="41">
        <v>5</v>
      </c>
      <c r="B6" s="61">
        <v>600</v>
      </c>
      <c r="C6" s="42">
        <f>B6*A6/1000</f>
        <v>3</v>
      </c>
      <c r="D6" t="s">
        <v>370</v>
      </c>
      <c r="G6" t="s">
        <v>29</v>
      </c>
      <c r="H6" t="s">
        <v>374</v>
      </c>
    </row>
    <row r="7" spans="1:8" ht="17.25">
      <c r="A7" s="41">
        <v>5</v>
      </c>
      <c r="B7" s="61">
        <v>620</v>
      </c>
      <c r="C7" s="42">
        <v>3.1</v>
      </c>
      <c r="D7" t="s">
        <v>371</v>
      </c>
      <c r="G7" t="s">
        <v>375</v>
      </c>
    </row>
    <row r="8" spans="1:8" ht="17.25">
      <c r="A8" s="41">
        <v>6</v>
      </c>
      <c r="B8" s="61">
        <v>550</v>
      </c>
      <c r="C8" s="42">
        <v>3.3</v>
      </c>
      <c r="D8" t="s">
        <v>372</v>
      </c>
      <c r="G8" t="s">
        <v>376</v>
      </c>
    </row>
    <row r="9" spans="1:8" ht="17.25">
      <c r="A9" s="41">
        <v>6</v>
      </c>
      <c r="B9" s="61">
        <v>600</v>
      </c>
      <c r="C9" s="42">
        <f>B9*A9/1000</f>
        <v>3.6</v>
      </c>
      <c r="D9" t="s">
        <v>370</v>
      </c>
    </row>
    <row r="10" spans="1:8" ht="17.25">
      <c r="A10" s="41">
        <v>6</v>
      </c>
      <c r="B10" s="61">
        <v>620</v>
      </c>
      <c r="C10" s="42">
        <v>3.72</v>
      </c>
      <c r="D10" t="s">
        <v>371</v>
      </c>
      <c r="G10" t="s">
        <v>296</v>
      </c>
      <c r="H10" s="35" t="s">
        <v>377</v>
      </c>
    </row>
    <row r="11" spans="1:8" ht="17.25">
      <c r="A11" s="41">
        <v>7</v>
      </c>
      <c r="B11" s="61">
        <v>550</v>
      </c>
      <c r="C11" s="42">
        <v>3.85</v>
      </c>
      <c r="D11" t="s">
        <v>372</v>
      </c>
    </row>
    <row r="12" spans="1:8" ht="17.25">
      <c r="A12" s="41">
        <v>7</v>
      </c>
      <c r="B12" s="61">
        <v>600</v>
      </c>
      <c r="C12" s="42">
        <f>B12*A12/1000</f>
        <v>4.2</v>
      </c>
      <c r="D12" s="17" t="s">
        <v>370</v>
      </c>
      <c r="E12" s="42"/>
    </row>
    <row r="13" spans="1:8" ht="17.25">
      <c r="A13" s="41">
        <v>7</v>
      </c>
      <c r="B13" s="61">
        <v>620</v>
      </c>
      <c r="C13" s="42">
        <v>4.34</v>
      </c>
      <c r="D13" t="s">
        <v>371</v>
      </c>
    </row>
    <row r="14" spans="1:8" ht="17.25">
      <c r="A14" s="41">
        <v>8</v>
      </c>
      <c r="B14" s="61">
        <v>550</v>
      </c>
      <c r="C14" s="42">
        <v>4.4000000000000004</v>
      </c>
      <c r="D14" t="s">
        <v>372</v>
      </c>
    </row>
    <row r="15" spans="1:8" ht="17.25">
      <c r="A15" s="41">
        <v>8</v>
      </c>
      <c r="B15" s="61">
        <v>600</v>
      </c>
      <c r="C15" s="42">
        <f>B15*A15/1000</f>
        <v>4.8</v>
      </c>
      <c r="D15" t="s">
        <v>370</v>
      </c>
    </row>
    <row r="16" spans="1:8" ht="17.25">
      <c r="A16" s="41">
        <v>9</v>
      </c>
      <c r="B16" s="61">
        <v>550</v>
      </c>
      <c r="C16" s="42">
        <v>4.95</v>
      </c>
      <c r="D16" t="s">
        <v>372</v>
      </c>
    </row>
    <row r="17" spans="1:4" ht="17.25">
      <c r="A17" s="41">
        <v>8</v>
      </c>
      <c r="B17" s="61">
        <v>620</v>
      </c>
      <c r="C17" s="42">
        <v>4.96</v>
      </c>
      <c r="D17" t="s">
        <v>371</v>
      </c>
    </row>
    <row r="18" spans="1:4" ht="17.25">
      <c r="A18" s="41">
        <v>9</v>
      </c>
      <c r="B18" s="61">
        <v>600</v>
      </c>
      <c r="C18" s="42">
        <f>B18*A18/1000</f>
        <v>5.4</v>
      </c>
      <c r="D18" t="s">
        <v>370</v>
      </c>
    </row>
    <row r="19" spans="1:4" ht="17.25">
      <c r="A19" s="41">
        <v>10</v>
      </c>
      <c r="B19" s="61">
        <v>550</v>
      </c>
      <c r="C19" s="42">
        <v>5.5</v>
      </c>
      <c r="D19" t="s">
        <v>372</v>
      </c>
    </row>
    <row r="20" spans="1:4" ht="17.25">
      <c r="A20" s="41">
        <v>9</v>
      </c>
      <c r="B20" s="61">
        <v>620</v>
      </c>
      <c r="C20" s="42">
        <v>5.58</v>
      </c>
      <c r="D20" t="s">
        <v>371</v>
      </c>
    </row>
    <row r="21" spans="1:4" ht="17.25">
      <c r="A21" s="41">
        <v>10</v>
      </c>
      <c r="B21" s="61">
        <v>600</v>
      </c>
      <c r="C21" s="42">
        <f>B21*A21/1000</f>
        <v>6</v>
      </c>
      <c r="D21" t="s">
        <v>370</v>
      </c>
    </row>
    <row r="22" spans="1:4" ht="17.25">
      <c r="A22" s="41">
        <v>11</v>
      </c>
      <c r="B22" s="61">
        <v>550</v>
      </c>
      <c r="C22" s="42">
        <v>6.05</v>
      </c>
      <c r="D22" t="s">
        <v>372</v>
      </c>
    </row>
    <row r="23" spans="1:4" ht="17.25">
      <c r="A23" s="41">
        <v>10</v>
      </c>
      <c r="B23" s="61">
        <v>620</v>
      </c>
      <c r="C23" s="42">
        <v>6.2</v>
      </c>
      <c r="D23" t="s">
        <v>371</v>
      </c>
    </row>
    <row r="24" spans="1:4" ht="17.25">
      <c r="A24" s="41">
        <v>12</v>
      </c>
      <c r="B24" s="61">
        <v>550</v>
      </c>
      <c r="C24" s="42">
        <v>6.6</v>
      </c>
      <c r="D24" t="s">
        <v>372</v>
      </c>
    </row>
    <row r="25" spans="1:4" ht="17.25">
      <c r="A25" s="41">
        <v>13</v>
      </c>
      <c r="B25" s="61">
        <v>550</v>
      </c>
      <c r="C25" s="42">
        <v>7.15</v>
      </c>
      <c r="D25" t="s">
        <v>372</v>
      </c>
    </row>
    <row r="26" spans="1:4" ht="17.25">
      <c r="A26" s="41">
        <v>12</v>
      </c>
      <c r="B26" s="61">
        <v>600</v>
      </c>
      <c r="C26" s="42">
        <f>B26*A26/1000</f>
        <v>7.2</v>
      </c>
      <c r="D26" t="s">
        <v>370</v>
      </c>
    </row>
    <row r="27" spans="1:4" ht="17.25">
      <c r="A27" s="41">
        <v>12</v>
      </c>
      <c r="B27" s="61">
        <v>620</v>
      </c>
      <c r="C27" s="42">
        <v>7.44</v>
      </c>
      <c r="D27" t="s">
        <v>371</v>
      </c>
    </row>
    <row r="28" spans="1:4" ht="17.25">
      <c r="A28" s="41">
        <v>14</v>
      </c>
      <c r="B28" s="61">
        <v>550</v>
      </c>
      <c r="C28" s="42">
        <v>7.7</v>
      </c>
      <c r="D28" t="s">
        <v>372</v>
      </c>
    </row>
    <row r="29" spans="1:4" ht="17.25">
      <c r="A29" s="41">
        <v>15</v>
      </c>
      <c r="B29" s="61">
        <v>550</v>
      </c>
      <c r="C29" s="42">
        <v>8.25</v>
      </c>
      <c r="D29" t="s">
        <v>372</v>
      </c>
    </row>
    <row r="30" spans="1:4" ht="17.25">
      <c r="A30" s="41">
        <v>14</v>
      </c>
      <c r="B30" s="61">
        <v>600</v>
      </c>
      <c r="C30" s="42">
        <f>B30*A30/1000</f>
        <v>8.4</v>
      </c>
      <c r="D30" t="s">
        <v>370</v>
      </c>
    </row>
    <row r="31" spans="1:4" ht="17.25">
      <c r="A31" s="41">
        <v>14</v>
      </c>
      <c r="B31" s="61">
        <v>620</v>
      </c>
      <c r="C31" s="42">
        <v>8.68</v>
      </c>
      <c r="D31" t="s">
        <v>371</v>
      </c>
    </row>
    <row r="32" spans="1:4" ht="17.25">
      <c r="A32" s="41">
        <v>16</v>
      </c>
      <c r="B32" s="61">
        <v>550</v>
      </c>
      <c r="C32" s="42">
        <v>8.8000000000000007</v>
      </c>
      <c r="D32" t="s">
        <v>372</v>
      </c>
    </row>
    <row r="33" spans="1:4" ht="17.25">
      <c r="A33" s="41">
        <v>17</v>
      </c>
      <c r="B33" s="61">
        <v>550</v>
      </c>
      <c r="C33" s="42">
        <v>9.35</v>
      </c>
      <c r="D33" t="s">
        <v>372</v>
      </c>
    </row>
    <row r="34" spans="1:4" ht="17.25">
      <c r="A34" s="41">
        <v>16</v>
      </c>
      <c r="B34" s="61">
        <v>600</v>
      </c>
      <c r="C34" s="42">
        <f>B34*A34/1000</f>
        <v>9.6</v>
      </c>
      <c r="D34" t="s">
        <v>370</v>
      </c>
    </row>
    <row r="35" spans="1:4" ht="17.25">
      <c r="A35" s="41">
        <v>18</v>
      </c>
      <c r="B35" s="61">
        <v>550</v>
      </c>
      <c r="C35" s="42">
        <v>9.9</v>
      </c>
      <c r="D35" t="s">
        <v>372</v>
      </c>
    </row>
    <row r="36" spans="1:4" ht="17.25">
      <c r="A36" s="41">
        <v>16</v>
      </c>
      <c r="B36" s="61">
        <v>620</v>
      </c>
      <c r="C36" s="42">
        <v>9.92</v>
      </c>
      <c r="D36" t="s">
        <v>371</v>
      </c>
    </row>
  </sheetData>
  <sortState xmlns:xlrd2="http://schemas.microsoft.com/office/spreadsheetml/2017/richdata2" ref="A2:D36">
    <sortCondition ref="C2:C36"/>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E6069-D1DB-42C9-AE51-0F9C479288CF}">
  <dimension ref="A1:E32"/>
  <sheetViews>
    <sheetView workbookViewId="0">
      <selection activeCell="D14" sqref="D14"/>
    </sheetView>
  </sheetViews>
  <sheetFormatPr defaultRowHeight="15"/>
  <cols>
    <col min="4" max="4" width="49.28515625" customWidth="1"/>
    <col min="5" max="5" width="13.42578125" bestFit="1" customWidth="1"/>
  </cols>
  <sheetData>
    <row r="1" spans="1:5">
      <c r="A1" s="240" t="s">
        <v>294</v>
      </c>
      <c r="B1" s="240"/>
      <c r="C1" s="240"/>
      <c r="D1" s="240"/>
      <c r="E1" s="81" t="s">
        <v>295</v>
      </c>
    </row>
    <row r="2" spans="1:5">
      <c r="A2" s="240" t="s">
        <v>281</v>
      </c>
      <c r="B2" s="240"/>
      <c r="C2" s="240"/>
      <c r="D2" s="240"/>
      <c r="E2" s="82">
        <v>24.3</v>
      </c>
    </row>
    <row r="3" spans="1:5">
      <c r="A3" s="240" t="s">
        <v>282</v>
      </c>
      <c r="B3" s="240"/>
      <c r="C3" s="240"/>
      <c r="D3" s="240"/>
      <c r="E3" s="82">
        <v>5</v>
      </c>
    </row>
    <row r="4" spans="1:5">
      <c r="A4" s="240" t="s">
        <v>283</v>
      </c>
      <c r="B4" s="240"/>
      <c r="C4" s="240"/>
      <c r="D4" s="92" t="s">
        <v>324</v>
      </c>
      <c r="E4" s="82">
        <v>80</v>
      </c>
    </row>
    <row r="5" spans="1:5">
      <c r="A5" s="240"/>
      <c r="B5" s="240"/>
      <c r="C5" s="240"/>
      <c r="D5" s="92" t="s">
        <v>323</v>
      </c>
      <c r="E5" s="82">
        <v>80</v>
      </c>
    </row>
    <row r="6" spans="1:5">
      <c r="A6" s="240"/>
      <c r="B6" s="240"/>
      <c r="C6" s="240"/>
      <c r="D6" s="92" t="s">
        <v>325</v>
      </c>
      <c r="E6" s="82">
        <v>35</v>
      </c>
    </row>
    <row r="7" spans="1:5">
      <c r="A7" s="240"/>
      <c r="B7" s="240"/>
      <c r="C7" s="240"/>
      <c r="D7" s="92" t="s">
        <v>326</v>
      </c>
      <c r="E7" s="82">
        <v>13</v>
      </c>
    </row>
    <row r="8" spans="1:5">
      <c r="A8" s="240"/>
      <c r="B8" s="240"/>
      <c r="C8" s="240"/>
      <c r="D8" s="92" t="s">
        <v>327</v>
      </c>
      <c r="E8" s="82">
        <v>10</v>
      </c>
    </row>
    <row r="9" spans="1:5">
      <c r="A9" s="240"/>
      <c r="B9" s="240"/>
      <c r="C9" s="240"/>
      <c r="D9" s="92" t="s">
        <v>328</v>
      </c>
      <c r="E9" s="82">
        <v>850</v>
      </c>
    </row>
    <row r="10" spans="1:5">
      <c r="A10" s="240"/>
      <c r="B10" s="240"/>
      <c r="C10" s="240"/>
      <c r="D10" s="241" t="s">
        <v>292</v>
      </c>
      <c r="E10" s="242"/>
    </row>
    <row r="11" spans="1:5">
      <c r="A11" s="240" t="s">
        <v>159</v>
      </c>
      <c r="B11" s="240"/>
      <c r="C11" s="240"/>
      <c r="D11" s="240"/>
      <c r="E11" s="82">
        <v>0.4</v>
      </c>
    </row>
    <row r="12" spans="1:5">
      <c r="A12" s="240" t="s">
        <v>160</v>
      </c>
      <c r="B12" s="240"/>
      <c r="C12" s="240"/>
      <c r="D12" s="240"/>
      <c r="E12" s="82">
        <v>0.4</v>
      </c>
    </row>
    <row r="13" spans="1:5">
      <c r="A13" s="240" t="s">
        <v>284</v>
      </c>
      <c r="B13" s="240"/>
      <c r="C13" s="240"/>
      <c r="D13" s="92" t="s">
        <v>329</v>
      </c>
      <c r="E13" s="82">
        <v>65</v>
      </c>
    </row>
    <row r="14" spans="1:5">
      <c r="A14" s="240"/>
      <c r="B14" s="240"/>
      <c r="C14" s="240"/>
      <c r="D14" s="92" t="s">
        <v>330</v>
      </c>
      <c r="E14" s="82">
        <v>40</v>
      </c>
    </row>
    <row r="15" spans="1:5">
      <c r="A15" s="240"/>
      <c r="B15" s="240"/>
      <c r="C15" s="240"/>
      <c r="D15" s="92" t="s">
        <v>331</v>
      </c>
      <c r="E15" s="82">
        <v>90</v>
      </c>
    </row>
    <row r="16" spans="1:5">
      <c r="A16" s="240"/>
      <c r="B16" s="240"/>
      <c r="C16" s="240"/>
      <c r="D16" s="92" t="s">
        <v>332</v>
      </c>
      <c r="E16" s="82">
        <v>53.5</v>
      </c>
    </row>
    <row r="17" spans="1:5">
      <c r="A17" s="240"/>
      <c r="B17" s="240"/>
      <c r="C17" s="240"/>
      <c r="D17" s="92" t="s">
        <v>351</v>
      </c>
      <c r="E17" s="82">
        <v>200</v>
      </c>
    </row>
    <row r="18" spans="1:5">
      <c r="A18" s="240"/>
      <c r="B18" s="240"/>
      <c r="C18" s="240"/>
      <c r="D18" s="92" t="s">
        <v>333</v>
      </c>
      <c r="E18" s="82">
        <v>30</v>
      </c>
    </row>
    <row r="19" spans="1:5">
      <c r="A19" s="240"/>
      <c r="B19" s="240"/>
      <c r="C19" s="240"/>
      <c r="D19" s="92" t="s">
        <v>334</v>
      </c>
      <c r="E19" s="82">
        <v>45</v>
      </c>
    </row>
    <row r="20" spans="1:5">
      <c r="A20" s="240"/>
      <c r="B20" s="240"/>
      <c r="C20" s="240"/>
      <c r="D20" s="92" t="s">
        <v>335</v>
      </c>
      <c r="E20" s="82">
        <v>18</v>
      </c>
    </row>
    <row r="21" spans="1:5">
      <c r="A21" s="240"/>
      <c r="B21" s="240"/>
      <c r="C21" s="240"/>
      <c r="D21" s="92" t="s">
        <v>336</v>
      </c>
      <c r="E21" s="82">
        <v>60</v>
      </c>
    </row>
    <row r="22" spans="1:5">
      <c r="A22" s="240"/>
      <c r="B22" s="240"/>
      <c r="C22" s="240"/>
      <c r="D22" s="92" t="s">
        <v>337</v>
      </c>
      <c r="E22" s="82">
        <v>75</v>
      </c>
    </row>
    <row r="23" spans="1:5">
      <c r="A23" s="240"/>
      <c r="B23" s="240"/>
      <c r="C23" s="240"/>
      <c r="D23" s="241" t="s">
        <v>292</v>
      </c>
      <c r="E23" s="242"/>
    </row>
    <row r="24" spans="1:5">
      <c r="A24" s="240" t="s">
        <v>352</v>
      </c>
      <c r="B24" s="240"/>
      <c r="C24" s="240"/>
      <c r="D24" s="240"/>
      <c r="E24" s="82">
        <v>1200</v>
      </c>
    </row>
    <row r="25" spans="1:5">
      <c r="A25" s="240" t="s">
        <v>285</v>
      </c>
      <c r="B25" s="240"/>
      <c r="C25" s="240"/>
      <c r="D25" s="240"/>
      <c r="E25" s="82">
        <v>400</v>
      </c>
    </row>
    <row r="26" spans="1:5">
      <c r="A26" s="240" t="s">
        <v>286</v>
      </c>
      <c r="B26" s="240"/>
      <c r="C26" s="240"/>
      <c r="D26" s="240"/>
      <c r="E26" s="82">
        <v>400</v>
      </c>
    </row>
    <row r="27" spans="1:5">
      <c r="A27" s="240" t="s">
        <v>287</v>
      </c>
      <c r="B27" s="240"/>
      <c r="C27" s="240"/>
      <c r="D27" s="240"/>
      <c r="E27" s="82">
        <v>0</v>
      </c>
    </row>
    <row r="28" spans="1:5">
      <c r="A28" s="240" t="s">
        <v>288</v>
      </c>
      <c r="B28" s="240"/>
      <c r="C28" s="240"/>
      <c r="D28" s="240"/>
      <c r="E28" s="82">
        <v>600</v>
      </c>
    </row>
    <row r="29" spans="1:5">
      <c r="A29" s="240" t="s">
        <v>289</v>
      </c>
      <c r="B29" s="240"/>
      <c r="C29" s="240"/>
      <c r="D29" s="240"/>
      <c r="E29" s="82">
        <v>1100</v>
      </c>
    </row>
    <row r="30" spans="1:5">
      <c r="A30" s="240" t="s">
        <v>353</v>
      </c>
      <c r="B30" s="240"/>
      <c r="C30" s="240"/>
      <c r="D30" s="240"/>
      <c r="E30" s="82">
        <v>1000</v>
      </c>
    </row>
    <row r="31" spans="1:5">
      <c r="A31" s="286" t="s">
        <v>292</v>
      </c>
      <c r="B31" s="287"/>
      <c r="C31" s="287"/>
      <c r="D31" s="287"/>
      <c r="E31" s="288"/>
    </row>
    <row r="32" spans="1:5">
      <c r="A32" s="240" t="s">
        <v>293</v>
      </c>
      <c r="B32" s="240"/>
      <c r="C32" s="240"/>
      <c r="D32" s="240"/>
      <c r="E32" s="83">
        <v>0.2</v>
      </c>
    </row>
  </sheetData>
  <mergeCells count="18">
    <mergeCell ref="A31:E31"/>
    <mergeCell ref="A32:D32"/>
    <mergeCell ref="A25:D25"/>
    <mergeCell ref="A26:D26"/>
    <mergeCell ref="A27:D27"/>
    <mergeCell ref="A28:D28"/>
    <mergeCell ref="A29:D29"/>
    <mergeCell ref="A30:D30"/>
    <mergeCell ref="D10:E10"/>
    <mergeCell ref="A11:D11"/>
    <mergeCell ref="A12:D12"/>
    <mergeCell ref="A13:C23"/>
    <mergeCell ref="D23:E23"/>
    <mergeCell ref="A24:D24"/>
    <mergeCell ref="A1:D1"/>
    <mergeCell ref="A2:D2"/>
    <mergeCell ref="A3:D3"/>
    <mergeCell ref="A4: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W16"/>
  <sheetViews>
    <sheetView zoomScaleNormal="100" workbookViewId="0">
      <selection activeCell="I29" sqref="I29"/>
    </sheetView>
  </sheetViews>
  <sheetFormatPr defaultRowHeight="15"/>
  <cols>
    <col min="1" max="1" width="9" customWidth="1"/>
    <col min="2" max="2" width="10.28515625" bestFit="1" customWidth="1"/>
    <col min="4" max="4" width="12.140625" bestFit="1" customWidth="1"/>
    <col min="5" max="5" width="12.140625" customWidth="1"/>
    <col min="7" max="7" width="22.140625" bestFit="1" customWidth="1"/>
    <col min="10" max="10" width="14.7109375" bestFit="1" customWidth="1"/>
    <col min="11" max="12" width="9.5703125" bestFit="1" customWidth="1"/>
  </cols>
  <sheetData>
    <row r="1" spans="2:23" ht="42.75">
      <c r="B1" s="18" t="s">
        <v>99</v>
      </c>
      <c r="C1" s="18" t="s">
        <v>100</v>
      </c>
      <c r="D1" s="18" t="s">
        <v>101</v>
      </c>
      <c r="E1" s="18" t="s">
        <v>143</v>
      </c>
      <c r="F1" s="18" t="s">
        <v>102</v>
      </c>
      <c r="G1" s="19" t="s">
        <v>103</v>
      </c>
      <c r="I1" s="19" t="s">
        <v>104</v>
      </c>
      <c r="J1" s="19" t="s">
        <v>105</v>
      </c>
      <c r="K1" s="19" t="s">
        <v>106</v>
      </c>
      <c r="L1" s="19" t="s">
        <v>107</v>
      </c>
      <c r="P1" s="19" t="s">
        <v>108</v>
      </c>
      <c r="Q1" s="19" t="s">
        <v>109</v>
      </c>
      <c r="R1" s="19" t="s">
        <v>110</v>
      </c>
      <c r="S1" s="19" t="s">
        <v>111</v>
      </c>
      <c r="T1" s="19" t="s">
        <v>112</v>
      </c>
      <c r="U1" s="19" t="s">
        <v>113</v>
      </c>
      <c r="W1" s="19" t="s">
        <v>12</v>
      </c>
    </row>
    <row r="2" spans="2:23">
      <c r="B2" s="20" t="s">
        <v>114</v>
      </c>
      <c r="C2" t="s">
        <v>115</v>
      </c>
      <c r="D2" t="s">
        <v>116</v>
      </c>
      <c r="E2" t="s">
        <v>144</v>
      </c>
      <c r="F2">
        <v>3500</v>
      </c>
      <c r="G2" t="s">
        <v>117</v>
      </c>
      <c r="I2" t="s">
        <v>118</v>
      </c>
      <c r="J2">
        <f>4.8+0.5</f>
        <v>5.3</v>
      </c>
      <c r="K2" s="22">
        <f>QUOTATION!H37*DATA!J2*31</f>
        <v>492.9</v>
      </c>
      <c r="L2" s="22">
        <f>K2*8</f>
        <v>3943.2</v>
      </c>
      <c r="N2" t="s">
        <v>30</v>
      </c>
      <c r="P2">
        <v>535</v>
      </c>
      <c r="Q2">
        <v>2</v>
      </c>
      <c r="R2" s="21">
        <f>Q2*P2/1000</f>
        <v>1.07</v>
      </c>
      <c r="S2">
        <f>20000*Q2</f>
        <v>40000</v>
      </c>
      <c r="T2">
        <v>15500</v>
      </c>
      <c r="W2" t="s">
        <v>149</v>
      </c>
    </row>
    <row r="3" spans="2:23">
      <c r="B3" s="20" t="s">
        <v>138</v>
      </c>
      <c r="C3" t="s">
        <v>115</v>
      </c>
      <c r="D3" t="s">
        <v>116</v>
      </c>
      <c r="E3" t="s">
        <v>145</v>
      </c>
      <c r="F3">
        <v>3500</v>
      </c>
      <c r="G3" t="s">
        <v>119</v>
      </c>
      <c r="I3" t="s">
        <v>118</v>
      </c>
      <c r="J3">
        <f t="shared" ref="J3:J14" si="0">4.8+0.5</f>
        <v>5.3</v>
      </c>
      <c r="K3" s="22">
        <f>QUOTATION!H37*DATA!J3*31</f>
        <v>492.9</v>
      </c>
      <c r="L3" s="22">
        <f>K3*8</f>
        <v>3943.2</v>
      </c>
      <c r="N3" t="s">
        <v>30</v>
      </c>
      <c r="P3">
        <v>535</v>
      </c>
      <c r="Q3">
        <v>3</v>
      </c>
      <c r="R3" s="21">
        <f t="shared" ref="R3:R8" si="1">Q3*P3/1000</f>
        <v>1.605</v>
      </c>
      <c r="S3">
        <f t="shared" ref="S3:S8" si="2">20000*Q3</f>
        <v>60000</v>
      </c>
      <c r="T3">
        <v>17500</v>
      </c>
      <c r="W3" t="s">
        <v>150</v>
      </c>
    </row>
    <row r="4" spans="2:23">
      <c r="B4" s="20" t="s">
        <v>139</v>
      </c>
      <c r="C4" t="s">
        <v>120</v>
      </c>
      <c r="D4" t="s">
        <v>121</v>
      </c>
      <c r="E4" t="s">
        <v>146</v>
      </c>
      <c r="F4">
        <v>5500</v>
      </c>
      <c r="G4" t="s">
        <v>199</v>
      </c>
      <c r="I4" t="s">
        <v>122</v>
      </c>
      <c r="J4">
        <f t="shared" si="0"/>
        <v>5.3</v>
      </c>
      <c r="K4" s="22">
        <f>QUOTATION!H37*DATA!J4*28</f>
        <v>445.19999999999993</v>
      </c>
      <c r="L4" s="22">
        <f t="shared" ref="L4:L14" si="3">K4*8</f>
        <v>3561.5999999999995</v>
      </c>
      <c r="N4" t="s">
        <v>123</v>
      </c>
      <c r="P4">
        <v>535</v>
      </c>
      <c r="Q4">
        <v>4</v>
      </c>
      <c r="R4" s="21">
        <f t="shared" si="1"/>
        <v>2.14</v>
      </c>
      <c r="S4">
        <f t="shared" si="2"/>
        <v>80000</v>
      </c>
      <c r="T4">
        <v>40000</v>
      </c>
      <c r="W4" t="s">
        <v>151</v>
      </c>
    </row>
    <row r="5" spans="2:23">
      <c r="B5" s="20" t="s">
        <v>140</v>
      </c>
      <c r="E5" t="s">
        <v>147</v>
      </c>
      <c r="G5" t="s">
        <v>193</v>
      </c>
      <c r="I5" t="s">
        <v>124</v>
      </c>
      <c r="J5">
        <f t="shared" si="0"/>
        <v>5.3</v>
      </c>
      <c r="K5" s="22">
        <f>QUOTATION!H37*DATA!J5*31</f>
        <v>492.9</v>
      </c>
      <c r="L5" s="22">
        <f t="shared" si="3"/>
        <v>3943.2</v>
      </c>
      <c r="N5" t="s">
        <v>125</v>
      </c>
      <c r="P5">
        <v>535</v>
      </c>
      <c r="Q5">
        <v>5</v>
      </c>
      <c r="R5" s="21">
        <f t="shared" si="1"/>
        <v>2.6749999999999998</v>
      </c>
      <c r="S5">
        <f t="shared" si="2"/>
        <v>100000</v>
      </c>
      <c r="T5">
        <v>60000</v>
      </c>
    </row>
    <row r="6" spans="2:23">
      <c r="B6" s="20" t="s">
        <v>141</v>
      </c>
      <c r="E6" t="s">
        <v>148</v>
      </c>
      <c r="G6" t="s">
        <v>278</v>
      </c>
      <c r="I6" t="s">
        <v>126</v>
      </c>
      <c r="J6">
        <f t="shared" si="0"/>
        <v>5.3</v>
      </c>
      <c r="K6" s="22">
        <f>QUOTATION!H37*DATA!J6*30</f>
        <v>476.99999999999994</v>
      </c>
      <c r="L6" s="22">
        <f t="shared" si="3"/>
        <v>3815.9999999999995</v>
      </c>
      <c r="N6" t="s">
        <v>127</v>
      </c>
      <c r="P6">
        <v>535</v>
      </c>
      <c r="Q6">
        <v>6</v>
      </c>
      <c r="R6" s="21">
        <f t="shared" si="1"/>
        <v>3.21</v>
      </c>
      <c r="S6">
        <f t="shared" si="2"/>
        <v>120000</v>
      </c>
      <c r="T6">
        <v>74500</v>
      </c>
    </row>
    <row r="7" spans="2:23">
      <c r="B7" s="20" t="s">
        <v>142</v>
      </c>
      <c r="G7" t="s">
        <v>184</v>
      </c>
      <c r="I7" t="s">
        <v>128</v>
      </c>
      <c r="J7">
        <f t="shared" si="0"/>
        <v>5.3</v>
      </c>
      <c r="K7" s="22">
        <f>QUOTATION!H37*DATA!J7*31</f>
        <v>492.9</v>
      </c>
      <c r="L7" s="22">
        <f t="shared" si="3"/>
        <v>3943.2</v>
      </c>
      <c r="N7" t="s">
        <v>129</v>
      </c>
      <c r="P7">
        <v>535</v>
      </c>
      <c r="Q7">
        <v>7</v>
      </c>
      <c r="R7" s="21">
        <f t="shared" si="1"/>
        <v>3.7450000000000001</v>
      </c>
      <c r="S7">
        <f t="shared" si="2"/>
        <v>140000</v>
      </c>
      <c r="T7">
        <v>74500</v>
      </c>
    </row>
    <row r="8" spans="2:23">
      <c r="G8" t="s">
        <v>185</v>
      </c>
      <c r="I8" t="s">
        <v>130</v>
      </c>
      <c r="J8">
        <f t="shared" si="0"/>
        <v>5.3</v>
      </c>
      <c r="K8" s="22">
        <f>QUOTATION!H37*DATA!J8*30</f>
        <v>476.99999999999994</v>
      </c>
      <c r="L8" s="22">
        <f t="shared" si="3"/>
        <v>3815.9999999999995</v>
      </c>
      <c r="N8" t="s">
        <v>131</v>
      </c>
      <c r="P8">
        <v>535</v>
      </c>
      <c r="Q8">
        <v>8</v>
      </c>
      <c r="R8" s="21">
        <f t="shared" si="1"/>
        <v>4.28</v>
      </c>
      <c r="S8">
        <f t="shared" si="2"/>
        <v>160000</v>
      </c>
    </row>
    <row r="9" spans="2:23">
      <c r="G9" t="s">
        <v>278</v>
      </c>
      <c r="I9" t="s">
        <v>132</v>
      </c>
      <c r="J9">
        <f t="shared" si="0"/>
        <v>5.3</v>
      </c>
      <c r="K9" s="22">
        <f>QUOTATION!H37*DATA!J9*31</f>
        <v>492.9</v>
      </c>
      <c r="L9" s="22">
        <f t="shared" si="3"/>
        <v>3943.2</v>
      </c>
      <c r="N9" t="s">
        <v>106</v>
      </c>
      <c r="R9" s="21"/>
    </row>
    <row r="10" spans="2:23">
      <c r="I10" t="s">
        <v>133</v>
      </c>
      <c r="J10">
        <f t="shared" si="0"/>
        <v>5.3</v>
      </c>
      <c r="K10" s="22">
        <f>QUOTATION!H37*DATA!J10*31</f>
        <v>492.9</v>
      </c>
      <c r="L10" s="22">
        <f t="shared" si="3"/>
        <v>3943.2</v>
      </c>
      <c r="N10" s="5" t="s">
        <v>107</v>
      </c>
    </row>
    <row r="11" spans="2:23">
      <c r="I11" t="s">
        <v>134</v>
      </c>
      <c r="J11">
        <f t="shared" si="0"/>
        <v>5.3</v>
      </c>
      <c r="K11" s="22">
        <f>QUOTATION!H37*DATA!J11*30</f>
        <v>476.99999999999994</v>
      </c>
      <c r="L11" s="22">
        <f t="shared" si="3"/>
        <v>3815.9999999999995</v>
      </c>
      <c r="N11" t="s">
        <v>153</v>
      </c>
    </row>
    <row r="12" spans="2:23">
      <c r="I12" t="s">
        <v>135</v>
      </c>
      <c r="J12">
        <f t="shared" si="0"/>
        <v>5.3</v>
      </c>
      <c r="K12" s="22">
        <f>QUOTATION!H37*DATA!J12*31</f>
        <v>492.9</v>
      </c>
      <c r="L12" s="22">
        <f t="shared" si="3"/>
        <v>3943.2</v>
      </c>
      <c r="N12" t="s">
        <v>27</v>
      </c>
    </row>
    <row r="13" spans="2:23">
      <c r="I13" t="s">
        <v>136</v>
      </c>
      <c r="J13">
        <f t="shared" si="0"/>
        <v>5.3</v>
      </c>
      <c r="K13" s="22">
        <f>QUOTATION!H37*DATA!J13*30</f>
        <v>476.99999999999994</v>
      </c>
      <c r="L13" s="22">
        <f t="shared" si="3"/>
        <v>3815.9999999999995</v>
      </c>
      <c r="N13" t="s">
        <v>155</v>
      </c>
    </row>
    <row r="14" spans="2:23">
      <c r="I14" t="s">
        <v>137</v>
      </c>
      <c r="J14">
        <f t="shared" si="0"/>
        <v>5.3</v>
      </c>
      <c r="K14" s="22">
        <f>QUOTATION!H37*DATA!J14*31</f>
        <v>492.9</v>
      </c>
      <c r="L14" s="22">
        <f t="shared" si="3"/>
        <v>3943.2</v>
      </c>
    </row>
    <row r="15" spans="2:23">
      <c r="J15">
        <f>SUM(J2:J14)</f>
        <v>68.899999999999991</v>
      </c>
      <c r="K15" s="22">
        <f>ROUNDUP(SUM(K3:K14),0)</f>
        <v>5804</v>
      </c>
      <c r="L15" s="22">
        <f>ROUNDUP(SUM(L3:L14),0)</f>
        <v>46428</v>
      </c>
    </row>
    <row r="16" spans="2:23">
      <c r="J16">
        <f>J15/12</f>
        <v>5.7416666666666663</v>
      </c>
    </row>
  </sheetData>
  <printOptions horizontalCentered="1"/>
  <pageMargins left="0.25" right="0.25" top="1.8812500000000001" bottom="0.75" header="0.3" footer="0.3"/>
  <pageSetup paperSize="9" scale="70" orientation="landscape" horizontalDpi="4294967293" verticalDpi="0" r:id="rId1"/>
  <headerFooter>
    <oddHeader>&amp;C&amp;G&amp;R&amp;T
&amp;D</oddHead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QUOTATION</vt:lpstr>
      <vt:lpstr>Price List (BI-FACIAL)</vt:lpstr>
      <vt:lpstr>Price List (TOPCON)</vt:lpstr>
      <vt:lpstr>PL Pahal (TOPCON)</vt:lpstr>
      <vt:lpstr>Sheet2</vt:lpstr>
      <vt:lpstr>Sheet1</vt:lpstr>
      <vt:lpstr>DATA</vt:lpstr>
      <vt:lpstr>'PL Pahal (TOPCON)'!Print_Area</vt:lpstr>
      <vt:lpstr>'Price List (BI-FACIAL)'!Print_Area</vt:lpstr>
      <vt:lpstr>'Price List (TOPCON)'!Print_Area</vt:lpstr>
      <vt:lpstr>QUOTATION!Print_Area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dc:creator>
  <cp:lastModifiedBy>Husain Noman.</cp:lastModifiedBy>
  <cp:lastPrinted>2026-04-27T08:38:34Z</cp:lastPrinted>
  <dcterms:created xsi:type="dcterms:W3CDTF">2015-06-05T18:17:20Z</dcterms:created>
  <dcterms:modified xsi:type="dcterms:W3CDTF">2026-05-09T05:20:53Z</dcterms:modified>
</cp:coreProperties>
</file>