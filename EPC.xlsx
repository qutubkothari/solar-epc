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G:\My Drive\Consumer wise Details\2025-2026\Quatations\Other then Residential\"/>
    </mc:Choice>
  </mc:AlternateContent>
  <xr:revisionPtr revIDLastSave="0" documentId="13_ncr:1_{029E3736-8201-4B5A-A9D2-710871C3332A}" xr6:coauthVersionLast="47" xr6:coauthVersionMax="47" xr10:uidLastSave="{00000000-0000-0000-0000-000000000000}"/>
  <bookViews>
    <workbookView xWindow="-120" yWindow="-120" windowWidth="29040" windowHeight="15840" tabRatio="812" xr2:uid="{00000000-000D-0000-FFFF-FFFF00000000}"/>
  </bookViews>
  <sheets>
    <sheet name="QUOTATION" sheetId="6" r:id="rId1"/>
    <sheet name="Inventry" sheetId="10" r:id="rId2"/>
    <sheet name="DATA" sheetId="2" r:id="rId3"/>
    <sheet name="PRICE LIST" sheetId="7" r:id="rId4"/>
    <sheet name="Sheet1" sheetId="8" r:id="rId5"/>
    <sheet name="Sheet2" sheetId="9" r:id="rId6"/>
  </sheets>
  <definedNames>
    <definedName name="_xlnm._FilterDatabase" localSheetId="1" hidden="1">Inventry!$A$1:$F$203</definedName>
    <definedName name="_xlnm.Print_Area" localSheetId="2">DATA!#REF!</definedName>
    <definedName name="_xlnm.Print_Area" localSheetId="0">QUOTATION!$A$1:$J$790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23" i="6" l="1"/>
  <c r="AC10" i="6"/>
  <c r="X4" i="6"/>
  <c r="E28" i="6" l="1"/>
  <c r="F531" i="6"/>
  <c r="C544" i="6"/>
  <c r="C545" i="6" s="1"/>
  <c r="C546" i="6" s="1"/>
  <c r="C547" i="6" s="1"/>
  <c r="C548" i="6" s="1"/>
  <c r="C549" i="6" s="1"/>
  <c r="C550" i="6" s="1"/>
  <c r="C551" i="6" s="1"/>
  <c r="C552" i="6" s="1"/>
  <c r="C553" i="6" s="1"/>
  <c r="C554" i="6" s="1"/>
  <c r="C555" i="6" s="1"/>
  <c r="C556" i="6" s="1"/>
  <c r="C557" i="6" s="1"/>
  <c r="C558" i="6" s="1"/>
  <c r="C559" i="6" s="1"/>
  <c r="C560" i="6" s="1"/>
  <c r="C561" i="6" s="1"/>
  <c r="C562" i="6" s="1"/>
  <c r="C563" i="6" s="1"/>
  <c r="C564" i="6" s="1"/>
  <c r="C565" i="6" s="1"/>
  <c r="C566" i="6" s="1"/>
  <c r="C567" i="6" s="1"/>
  <c r="C568" i="6" s="1"/>
  <c r="C569" i="6" s="1"/>
  <c r="C570" i="6" s="1"/>
  <c r="C571" i="6" s="1"/>
  <c r="C572" i="6" s="1"/>
  <c r="C573" i="6" s="1"/>
  <c r="AC11" i="6"/>
  <c r="E103" i="6"/>
  <c r="J214" i="6"/>
  <c r="J195" i="6"/>
  <c r="J125" i="6"/>
  <c r="J275" i="6"/>
  <c r="I275" i="6"/>
  <c r="F275" i="6"/>
  <c r="D275" i="6"/>
  <c r="B275" i="6"/>
  <c r="J267" i="6"/>
  <c r="B267" i="6"/>
  <c r="J261" i="6"/>
  <c r="B261" i="6"/>
  <c r="J254" i="6"/>
  <c r="B254" i="6"/>
  <c r="J247" i="6"/>
  <c r="B247" i="6"/>
  <c r="J237" i="6"/>
  <c r="J228" i="6"/>
  <c r="J221" i="6"/>
  <c r="B237" i="6"/>
  <c r="B228" i="6"/>
  <c r="B221" i="6"/>
  <c r="B214" i="6"/>
  <c r="D214" i="6"/>
  <c r="D195" i="6"/>
  <c r="E116" i="6"/>
  <c r="E115" i="6"/>
  <c r="E114" i="6"/>
  <c r="E113" i="6"/>
  <c r="E107" i="6"/>
  <c r="E110" i="6"/>
  <c r="W25" i="6"/>
  <c r="W17" i="6"/>
  <c r="W18" i="6"/>
  <c r="W19" i="6"/>
  <c r="W20" i="6"/>
  <c r="W21" i="6"/>
  <c r="W22" i="6"/>
  <c r="W23" i="6"/>
  <c r="W24" i="6"/>
  <c r="W16" i="6"/>
  <c r="AB4" i="6"/>
  <c r="AA4" i="6"/>
  <c r="Z4" i="6"/>
  <c r="F125" i="6" s="1"/>
  <c r="Y2" i="6"/>
  <c r="Z2" i="6" s="1"/>
  <c r="E108" i="6"/>
  <c r="AD26" i="6"/>
  <c r="AF26" i="6" s="1"/>
  <c r="AG26" i="6" s="1"/>
  <c r="AD31" i="6"/>
  <c r="AF31" i="6" s="1"/>
  <c r="AG31" i="6" s="1"/>
  <c r="A23" i="6" l="1"/>
  <c r="E102" i="6" s="1"/>
  <c r="E104" i="6"/>
  <c r="AC4" i="6"/>
  <c r="AC28" i="6" s="1"/>
  <c r="AD28" i="6" s="1"/>
  <c r="AF28" i="6" s="1"/>
  <c r="AG28" i="6" s="1"/>
  <c r="AB5" i="6"/>
  <c r="AB6" i="6"/>
  <c r="AB7" i="6"/>
  <c r="AD7" i="6" s="1"/>
  <c r="AF7" i="6" s="1"/>
  <c r="AG7" i="6" s="1"/>
  <c r="AB8" i="6"/>
  <c r="AD8" i="6" s="1"/>
  <c r="AF8" i="6" s="1"/>
  <c r="AG8" i="6" s="1"/>
  <c r="AB9" i="6"/>
  <c r="AD9" i="6" s="1"/>
  <c r="AF9" i="6" s="1"/>
  <c r="AG9" i="6" s="1"/>
  <c r="AB10" i="6"/>
  <c r="AD10" i="6" s="1"/>
  <c r="AF10" i="6" s="1"/>
  <c r="AG10" i="6" s="1"/>
  <c r="AB11" i="6"/>
  <c r="AD11" i="6" s="1"/>
  <c r="AF11" i="6" s="1"/>
  <c r="AG11" i="6" s="1"/>
  <c r="AB12" i="6"/>
  <c r="AB13" i="6"/>
  <c r="AB14" i="6"/>
  <c r="AD14" i="6" s="1"/>
  <c r="AF14" i="6" s="1"/>
  <c r="AG14" i="6" s="1"/>
  <c r="AB15" i="6"/>
  <c r="AD15" i="6" s="1"/>
  <c r="AF15" i="6" s="1"/>
  <c r="AG15" i="6" s="1"/>
  <c r="AB16" i="6"/>
  <c r="AD16" i="6" s="1"/>
  <c r="AF16" i="6" s="1"/>
  <c r="AG16" i="6" s="1"/>
  <c r="AB17" i="6"/>
  <c r="AD17" i="6" s="1"/>
  <c r="AF17" i="6" s="1"/>
  <c r="AG17" i="6" s="1"/>
  <c r="AB18" i="6"/>
  <c r="AD18" i="6" s="1"/>
  <c r="AF18" i="6" s="1"/>
  <c r="AG18" i="6" s="1"/>
  <c r="AB19" i="6"/>
  <c r="AD19" i="6" s="1"/>
  <c r="AF19" i="6" s="1"/>
  <c r="AG19" i="6" s="1"/>
  <c r="AB20" i="6"/>
  <c r="AD20" i="6" s="1"/>
  <c r="AF20" i="6" s="1"/>
  <c r="AG20" i="6" s="1"/>
  <c r="AB21" i="6"/>
  <c r="AD21" i="6" s="1"/>
  <c r="AF21" i="6" s="1"/>
  <c r="AG21" i="6" s="1"/>
  <c r="AB22" i="6"/>
  <c r="AD22" i="6" s="1"/>
  <c r="AF22" i="6" s="1"/>
  <c r="AG22" i="6" s="1"/>
  <c r="AB23" i="6"/>
  <c r="AD23" i="6" s="1"/>
  <c r="AF23" i="6" s="1"/>
  <c r="AG23" i="6" s="1"/>
  <c r="AB24" i="6"/>
  <c r="AD24" i="6" s="1"/>
  <c r="AF24" i="6" s="1"/>
  <c r="AG24" i="6" s="1"/>
  <c r="AA5" i="6"/>
  <c r="I139" i="6" s="1"/>
  <c r="AA6" i="6"/>
  <c r="I152" i="6" s="1"/>
  <c r="AA7" i="6"/>
  <c r="AA8" i="6"/>
  <c r="AA9" i="6"/>
  <c r="AA10" i="6"/>
  <c r="AA11" i="6"/>
  <c r="AA12" i="6"/>
  <c r="AA13" i="6"/>
  <c r="AA14" i="6"/>
  <c r="I195" i="6" s="1"/>
  <c r="AA15" i="6"/>
  <c r="I214" i="6" s="1"/>
  <c r="AA16" i="6"/>
  <c r="AA17" i="6"/>
  <c r="AA18" i="6"/>
  <c r="AA19" i="6"/>
  <c r="AA20" i="6"/>
  <c r="AA21" i="6"/>
  <c r="I261" i="6" s="1"/>
  <c r="AA22" i="6"/>
  <c r="AA23" i="6"/>
  <c r="I267" i="6" s="1"/>
  <c r="AA24" i="6"/>
  <c r="Z5" i="6"/>
  <c r="F139" i="6" s="1"/>
  <c r="Z6" i="6"/>
  <c r="F152" i="6" s="1"/>
  <c r="Z7" i="6"/>
  <c r="Z8" i="6"/>
  <c r="Z9" i="6"/>
  <c r="Z10" i="6"/>
  <c r="Z11" i="6"/>
  <c r="Z12" i="6"/>
  <c r="F164" i="6" s="1"/>
  <c r="Z13" i="6"/>
  <c r="F183" i="6" s="1"/>
  <c r="Z14" i="6"/>
  <c r="F195" i="6" s="1"/>
  <c r="Z15" i="6"/>
  <c r="F214" i="6" s="1"/>
  <c r="Z16" i="6"/>
  <c r="F221" i="6" s="1"/>
  <c r="Z17" i="6"/>
  <c r="F228" i="6" s="1"/>
  <c r="Z18" i="6"/>
  <c r="F237" i="6" s="1"/>
  <c r="Z19" i="6"/>
  <c r="F247" i="6" s="1"/>
  <c r="Z20" i="6"/>
  <c r="F254" i="6" s="1"/>
  <c r="Z21" i="6"/>
  <c r="F261" i="6" s="1"/>
  <c r="Z22" i="6"/>
  <c r="Z23" i="6"/>
  <c r="F267" i="6" s="1"/>
  <c r="Z24" i="6"/>
  <c r="Y5" i="6"/>
  <c r="D139" i="6" s="1"/>
  <c r="Y6" i="6"/>
  <c r="Y7" i="6"/>
  <c r="Y8" i="6"/>
  <c r="Y9" i="6"/>
  <c r="Y10" i="6"/>
  <c r="Y11" i="6"/>
  <c r="Y12" i="6"/>
  <c r="D164" i="6" s="1"/>
  <c r="Y13" i="6"/>
  <c r="D183" i="6" s="1"/>
  <c r="Y14" i="6"/>
  <c r="Y15" i="6"/>
  <c r="Y16" i="6"/>
  <c r="D221" i="6" s="1"/>
  <c r="Y17" i="6"/>
  <c r="D228" i="6" s="1"/>
  <c r="Y18" i="6"/>
  <c r="D237" i="6" s="1"/>
  <c r="Y19" i="6"/>
  <c r="D247" i="6" s="1"/>
  <c r="Y20" i="6"/>
  <c r="D254" i="6" s="1"/>
  <c r="Y21" i="6"/>
  <c r="D261" i="6" s="1"/>
  <c r="Y22" i="6"/>
  <c r="Y23" i="6"/>
  <c r="D267" i="6" s="1"/>
  <c r="Y24" i="6"/>
  <c r="K14" i="2" l="1"/>
  <c r="K2" i="2"/>
  <c r="K5" i="2"/>
  <c r="K13" i="2"/>
  <c r="F529" i="6"/>
  <c r="B544" i="6" s="1"/>
  <c r="B545" i="6" s="1"/>
  <c r="B546" i="6" s="1"/>
  <c r="K6" i="2"/>
  <c r="K9" i="2"/>
  <c r="K10" i="2"/>
  <c r="K3" i="2"/>
  <c r="K7" i="2"/>
  <c r="K11" i="2"/>
  <c r="K4" i="2"/>
  <c r="K8" i="2"/>
  <c r="K12" i="2"/>
  <c r="J152" i="6"/>
  <c r="AD6" i="6"/>
  <c r="AF6" i="6" s="1"/>
  <c r="AG6" i="6" s="1"/>
  <c r="AC27" i="6"/>
  <c r="AD27" i="6" s="1"/>
  <c r="AF27" i="6" s="1"/>
  <c r="AG27" i="6" s="1"/>
  <c r="AC12" i="6"/>
  <c r="AD12" i="6" s="1"/>
  <c r="AF12" i="6" s="1"/>
  <c r="AG12" i="6" s="1"/>
  <c r="AC25" i="6"/>
  <c r="AD25" i="6" s="1"/>
  <c r="AF25" i="6" s="1"/>
  <c r="AG25" i="6" s="1"/>
  <c r="AC13" i="6"/>
  <c r="AD13" i="6" s="1"/>
  <c r="AF13" i="6" s="1"/>
  <c r="AG13" i="6" s="1"/>
  <c r="AD4" i="6"/>
  <c r="AF4" i="6" s="1"/>
  <c r="AG4" i="6" s="1"/>
  <c r="AC29" i="6"/>
  <c r="AD5" i="6"/>
  <c r="AB32" i="6"/>
  <c r="E429" i="6"/>
  <c r="I456" i="6" s="1"/>
  <c r="J183" i="6"/>
  <c r="R18" i="9"/>
  <c r="R21" i="9" s="1"/>
  <c r="M18" i="9"/>
  <c r="N18" i="9" s="1"/>
  <c r="K456" i="6" l="1"/>
  <c r="D545" i="6"/>
  <c r="B547" i="6"/>
  <c r="D546" i="6"/>
  <c r="D544" i="6"/>
  <c r="D478" i="6"/>
  <c r="AD29" i="6"/>
  <c r="AF29" i="6" s="1"/>
  <c r="AG29" i="6" s="1"/>
  <c r="AC30" i="6"/>
  <c r="AD30" i="6" s="1"/>
  <c r="AF30" i="6" s="1"/>
  <c r="AG30" i="6" s="1"/>
  <c r="AF5" i="6"/>
  <c r="K20" i="2"/>
  <c r="K21" i="2"/>
  <c r="K22" i="2"/>
  <c r="K23" i="2"/>
  <c r="K19" i="2"/>
  <c r="E23" i="2"/>
  <c r="B548" i="6" l="1"/>
  <c r="D547" i="6"/>
  <c r="AD32" i="6"/>
  <c r="AG5" i="6"/>
  <c r="AG32" i="6" s="1"/>
  <c r="AF32" i="6"/>
  <c r="E119" i="6"/>
  <c r="E100" i="6"/>
  <c r="B549" i="6" l="1"/>
  <c r="D548" i="6"/>
  <c r="AG34" i="6"/>
  <c r="AG35" i="6" s="1"/>
  <c r="K433" i="6" s="1"/>
  <c r="E42" i="6"/>
  <c r="F785" i="6"/>
  <c r="R43" i="8"/>
  <c r="T43" i="8" s="1"/>
  <c r="U43" i="8" s="1"/>
  <c r="P42" i="8"/>
  <c r="R42" i="8" s="1"/>
  <c r="O40" i="8"/>
  <c r="R40" i="8" s="1"/>
  <c r="R39" i="8"/>
  <c r="T39" i="8" s="1"/>
  <c r="U39" i="8" s="1"/>
  <c r="R38" i="8"/>
  <c r="T38" i="8" s="1"/>
  <c r="R36" i="8"/>
  <c r="R35" i="8"/>
  <c r="T35" i="8" s="1"/>
  <c r="U35" i="8" s="1"/>
  <c r="R34" i="8"/>
  <c r="T34" i="8" s="1"/>
  <c r="U34" i="8" s="1"/>
  <c r="R33" i="8"/>
  <c r="T33" i="8" s="1"/>
  <c r="R32" i="8"/>
  <c r="R30" i="8"/>
  <c r="T30" i="8" s="1"/>
  <c r="U30" i="8" s="1"/>
  <c r="R29" i="8"/>
  <c r="T29" i="8" s="1"/>
  <c r="U29" i="8" s="1"/>
  <c r="R28" i="8"/>
  <c r="T28" i="8" s="1"/>
  <c r="R27" i="8"/>
  <c r="R26" i="8"/>
  <c r="T26" i="8" s="1"/>
  <c r="U26" i="8" s="1"/>
  <c r="R25" i="8"/>
  <c r="T25" i="8" s="1"/>
  <c r="U25" i="8" s="1"/>
  <c r="R24" i="8"/>
  <c r="T24" i="8" s="1"/>
  <c r="R22" i="8"/>
  <c r="O19" i="8"/>
  <c r="R19" i="8" s="1"/>
  <c r="O18" i="8"/>
  <c r="R18" i="8" s="1"/>
  <c r="R17" i="8"/>
  <c r="T17" i="8" s="1"/>
  <c r="U17" i="8" s="1"/>
  <c r="R15" i="8"/>
  <c r="T15" i="8" s="1"/>
  <c r="U15" i="8" s="1"/>
  <c r="R14" i="8"/>
  <c r="K14" i="8"/>
  <c r="Y13" i="8"/>
  <c r="Y12" i="8"/>
  <c r="O12" i="8"/>
  <c r="O21" i="8" s="1"/>
  <c r="R21" i="8" s="1"/>
  <c r="Y11" i="8"/>
  <c r="O9" i="8"/>
  <c r="U7" i="8"/>
  <c r="B550" i="6" l="1"/>
  <c r="D549" i="6"/>
  <c r="O37" i="8"/>
  <c r="R37" i="8" s="1"/>
  <c r="T37" i="8" s="1"/>
  <c r="U37" i="8" s="1"/>
  <c r="T42" i="8"/>
  <c r="U42" i="8" s="1"/>
  <c r="T19" i="8"/>
  <c r="U19" i="8" s="1"/>
  <c r="T40" i="8"/>
  <c r="U40" i="8" s="1"/>
  <c r="T21" i="8"/>
  <c r="U21" i="8" s="1"/>
  <c r="T18" i="8"/>
  <c r="U18" i="8" s="1"/>
  <c r="T14" i="8"/>
  <c r="U14" i="8" s="1"/>
  <c r="O20" i="8"/>
  <c r="R20" i="8" s="1"/>
  <c r="R12" i="8"/>
  <c r="O13" i="8"/>
  <c r="T22" i="8"/>
  <c r="U22" i="8" s="1"/>
  <c r="U24" i="8"/>
  <c r="T27" i="8"/>
  <c r="U27" i="8" s="1"/>
  <c r="U28" i="8"/>
  <c r="T32" i="8"/>
  <c r="U32" i="8" s="1"/>
  <c r="U33" i="8"/>
  <c r="T36" i="8"/>
  <c r="U36" i="8" s="1"/>
  <c r="U38" i="8"/>
  <c r="B551" i="6" l="1"/>
  <c r="D550" i="6"/>
  <c r="T12" i="8"/>
  <c r="U12" i="8" s="1"/>
  <c r="T20" i="8"/>
  <c r="U20" i="8" s="1"/>
  <c r="R13" i="8"/>
  <c r="O41" i="8"/>
  <c r="R41" i="8" s="1"/>
  <c r="B552" i="6" l="1"/>
  <c r="D551" i="6"/>
  <c r="T41" i="8"/>
  <c r="U41" i="8" s="1"/>
  <c r="T13" i="8"/>
  <c r="U13" i="8" s="1"/>
  <c r="B553" i="6" l="1"/>
  <c r="D552" i="6"/>
  <c r="O44" i="8"/>
  <c r="Q44" i="8" s="1"/>
  <c r="T44" i="8" s="1"/>
  <c r="B554" i="6" l="1"/>
  <c r="D553" i="6"/>
  <c r="R44" i="8"/>
  <c r="B555" i="6" l="1"/>
  <c r="D554" i="6"/>
  <c r="U44" i="8"/>
  <c r="R45" i="8"/>
  <c r="I14" i="7"/>
  <c r="AK33" i="7"/>
  <c r="AK34" i="7"/>
  <c r="AK35" i="7"/>
  <c r="AK36" i="7"/>
  <c r="AK37" i="7"/>
  <c r="AK38" i="7"/>
  <c r="AK39" i="7"/>
  <c r="AK40" i="7"/>
  <c r="AK41" i="7"/>
  <c r="AK42" i="7"/>
  <c r="AK43" i="7"/>
  <c r="AK44" i="7"/>
  <c r="AK45" i="7"/>
  <c r="AK46" i="7"/>
  <c r="AK47" i="7"/>
  <c r="AK48" i="7"/>
  <c r="AK49" i="7"/>
  <c r="AK50" i="7"/>
  <c r="AK51" i="7"/>
  <c r="AK52" i="7"/>
  <c r="AK53" i="7"/>
  <c r="AK54" i="7"/>
  <c r="AK55" i="7"/>
  <c r="AK56" i="7"/>
  <c r="AK57" i="7"/>
  <c r="AK58" i="7"/>
  <c r="AK59" i="7"/>
  <c r="AK60" i="7"/>
  <c r="AK61" i="7"/>
  <c r="AK62" i="7"/>
  <c r="AK63" i="7"/>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5" i="7"/>
  <c r="AK96" i="7"/>
  <c r="AK97" i="7"/>
  <c r="AK98" i="7"/>
  <c r="AK99" i="7"/>
  <c r="AK100" i="7"/>
  <c r="AK101" i="7"/>
  <c r="AK102" i="7"/>
  <c r="AK103" i="7"/>
  <c r="AK104" i="7"/>
  <c r="AK105" i="7"/>
  <c r="AK106" i="7"/>
  <c r="AK107" i="7"/>
  <c r="AK108" i="7"/>
  <c r="AK109" i="7"/>
  <c r="AK110" i="7"/>
  <c r="AK111" i="7"/>
  <c r="AK112" i="7"/>
  <c r="AK113" i="7"/>
  <c r="AK114" i="7"/>
  <c r="AK115" i="7"/>
  <c r="AK116" i="7"/>
  <c r="AK117" i="7"/>
  <c r="AK118" i="7"/>
  <c r="AK119" i="7"/>
  <c r="AK120" i="7"/>
  <c r="AK121" i="7"/>
  <c r="AK32" i="7"/>
  <c r="AE34" i="7"/>
  <c r="AE35" i="7"/>
  <c r="AE36" i="7"/>
  <c r="AE37" i="7"/>
  <c r="AE38" i="7"/>
  <c r="AE39" i="7"/>
  <c r="AE40" i="7"/>
  <c r="AE41" i="7"/>
  <c r="AE42" i="7"/>
  <c r="AE43" i="7"/>
  <c r="AE44" i="7"/>
  <c r="AE45" i="7"/>
  <c r="AE46" i="7"/>
  <c r="AE47" i="7"/>
  <c r="AE48" i="7"/>
  <c r="AE49" i="7"/>
  <c r="AE50" i="7"/>
  <c r="AE51" i="7"/>
  <c r="AE52" i="7"/>
  <c r="AE53" i="7"/>
  <c r="AE54" i="7"/>
  <c r="AE55" i="7"/>
  <c r="AE56" i="7"/>
  <c r="AE57" i="7"/>
  <c r="AE58" i="7"/>
  <c r="AE59" i="7"/>
  <c r="AE60" i="7"/>
  <c r="AE61" i="7"/>
  <c r="AE62" i="7"/>
  <c r="AE63" i="7"/>
  <c r="AE64" i="7"/>
  <c r="AE65" i="7"/>
  <c r="AE66" i="7"/>
  <c r="AE67" i="7"/>
  <c r="AE68" i="7"/>
  <c r="AE69" i="7"/>
  <c r="AE70" i="7"/>
  <c r="AE71" i="7"/>
  <c r="AE72" i="7"/>
  <c r="AE73" i="7"/>
  <c r="AE74" i="7"/>
  <c r="AE75" i="7"/>
  <c r="AE76" i="7"/>
  <c r="AE77" i="7"/>
  <c r="AE78" i="7"/>
  <c r="AE79" i="7"/>
  <c r="AE80" i="7"/>
  <c r="AE81" i="7"/>
  <c r="AE82" i="7"/>
  <c r="AE83" i="7"/>
  <c r="AE84" i="7"/>
  <c r="AE85" i="7"/>
  <c r="AE86" i="7"/>
  <c r="AE87" i="7"/>
  <c r="AE88" i="7"/>
  <c r="AE89" i="7"/>
  <c r="AE90" i="7"/>
  <c r="AE91" i="7"/>
  <c r="AE92" i="7"/>
  <c r="AE93" i="7"/>
  <c r="AE94" i="7"/>
  <c r="AE95" i="7"/>
  <c r="AE96" i="7"/>
  <c r="AE97" i="7"/>
  <c r="AE98" i="7"/>
  <c r="AE99" i="7"/>
  <c r="AE100" i="7"/>
  <c r="AE101" i="7"/>
  <c r="AE102" i="7"/>
  <c r="AE103" i="7"/>
  <c r="AE104" i="7"/>
  <c r="AE105" i="7"/>
  <c r="AE106" i="7"/>
  <c r="AE107" i="7"/>
  <c r="AE108" i="7"/>
  <c r="AE109" i="7"/>
  <c r="AE110" i="7"/>
  <c r="AE111" i="7"/>
  <c r="AE112" i="7"/>
  <c r="AE113" i="7"/>
  <c r="AE114" i="7"/>
  <c r="AE115" i="7"/>
  <c r="AE116" i="7"/>
  <c r="AE117" i="7"/>
  <c r="AE118" i="7"/>
  <c r="AE119" i="7"/>
  <c r="AE120" i="7"/>
  <c r="AE121" i="7"/>
  <c r="AE33" i="7"/>
  <c r="AE32" i="7"/>
  <c r="AD34" i="7"/>
  <c r="AD35" i="7"/>
  <c r="AD36" i="7"/>
  <c r="AD37" i="7"/>
  <c r="AD38" i="7"/>
  <c r="AD39" i="7"/>
  <c r="AD40" i="7"/>
  <c r="AD41" i="7"/>
  <c r="AD42" i="7"/>
  <c r="AD43" i="7"/>
  <c r="AD44" i="7"/>
  <c r="AD45" i="7"/>
  <c r="AD46" i="7"/>
  <c r="AD47" i="7"/>
  <c r="AD48" i="7"/>
  <c r="AD49" i="7"/>
  <c r="AD50" i="7"/>
  <c r="AD51" i="7"/>
  <c r="AD52" i="7"/>
  <c r="AD53" i="7"/>
  <c r="AD54" i="7"/>
  <c r="AD55" i="7"/>
  <c r="AD56" i="7"/>
  <c r="AD57" i="7"/>
  <c r="AD58" i="7"/>
  <c r="AD59" i="7"/>
  <c r="AD60" i="7"/>
  <c r="AD61" i="7"/>
  <c r="AD62" i="7"/>
  <c r="AD63" i="7"/>
  <c r="AD64" i="7"/>
  <c r="AD65" i="7"/>
  <c r="AD66" i="7"/>
  <c r="AD67" i="7"/>
  <c r="AD68" i="7"/>
  <c r="AD69" i="7"/>
  <c r="AD70" i="7"/>
  <c r="AD71" i="7"/>
  <c r="AD72" i="7"/>
  <c r="AD73" i="7"/>
  <c r="AD74" i="7"/>
  <c r="AD75" i="7"/>
  <c r="AD76" i="7"/>
  <c r="AD77" i="7"/>
  <c r="AD78" i="7"/>
  <c r="AD79" i="7"/>
  <c r="AD80" i="7"/>
  <c r="AD81" i="7"/>
  <c r="AD82" i="7"/>
  <c r="AD83" i="7"/>
  <c r="AD84" i="7"/>
  <c r="AD85" i="7"/>
  <c r="AD86" i="7"/>
  <c r="AD87" i="7"/>
  <c r="AD88" i="7"/>
  <c r="AD89" i="7"/>
  <c r="AD90" i="7"/>
  <c r="AD91" i="7"/>
  <c r="AD92" i="7"/>
  <c r="AD93" i="7"/>
  <c r="AD94" i="7"/>
  <c r="AD95" i="7"/>
  <c r="AD96" i="7"/>
  <c r="AD97" i="7"/>
  <c r="AD98" i="7"/>
  <c r="AD99" i="7"/>
  <c r="AD100" i="7"/>
  <c r="AD101" i="7"/>
  <c r="AD102" i="7"/>
  <c r="AD103" i="7"/>
  <c r="AD104" i="7"/>
  <c r="AD105" i="7"/>
  <c r="AD106" i="7"/>
  <c r="AD107" i="7"/>
  <c r="AD108" i="7"/>
  <c r="AD109" i="7"/>
  <c r="AD110" i="7"/>
  <c r="AD111" i="7"/>
  <c r="AD112" i="7"/>
  <c r="AD113" i="7"/>
  <c r="AD114" i="7"/>
  <c r="AD115" i="7"/>
  <c r="AD116" i="7"/>
  <c r="AD117" i="7"/>
  <c r="AD118" i="7"/>
  <c r="AD119" i="7"/>
  <c r="AD120" i="7"/>
  <c r="AD121" i="7"/>
  <c r="AD33" i="7"/>
  <c r="AD32" i="7"/>
  <c r="AB34" i="7"/>
  <c r="AB35" i="7"/>
  <c r="AB36" i="7"/>
  <c r="AB37" i="7"/>
  <c r="AB38" i="7"/>
  <c r="AB39" i="7"/>
  <c r="AB40" i="7"/>
  <c r="AB41" i="7"/>
  <c r="AB42" i="7"/>
  <c r="AB43" i="7"/>
  <c r="AB44" i="7"/>
  <c r="AB45" i="7"/>
  <c r="AB46" i="7"/>
  <c r="AB47" i="7"/>
  <c r="AB48" i="7"/>
  <c r="AB49" i="7"/>
  <c r="AB50" i="7"/>
  <c r="AB51" i="7"/>
  <c r="AB52" i="7"/>
  <c r="AB53" i="7"/>
  <c r="AB54" i="7"/>
  <c r="AB55" i="7"/>
  <c r="AB56" i="7"/>
  <c r="AB57" i="7"/>
  <c r="AB58" i="7"/>
  <c r="AB59" i="7"/>
  <c r="AB60" i="7"/>
  <c r="AB61" i="7"/>
  <c r="AB62" i="7"/>
  <c r="AB63" i="7"/>
  <c r="AB64" i="7"/>
  <c r="AB65" i="7"/>
  <c r="AB66" i="7"/>
  <c r="AB67" i="7"/>
  <c r="AB68" i="7"/>
  <c r="AB69" i="7"/>
  <c r="AB70" i="7"/>
  <c r="AB71" i="7"/>
  <c r="AB72" i="7"/>
  <c r="AB73" i="7"/>
  <c r="AB74" i="7"/>
  <c r="AB75" i="7"/>
  <c r="AB76" i="7"/>
  <c r="AB77" i="7"/>
  <c r="AB78" i="7"/>
  <c r="AB79" i="7"/>
  <c r="AB80" i="7"/>
  <c r="AB81" i="7"/>
  <c r="AB82" i="7"/>
  <c r="AB83" i="7"/>
  <c r="AB84" i="7"/>
  <c r="AB85" i="7"/>
  <c r="AB86" i="7"/>
  <c r="AB87" i="7"/>
  <c r="AB88" i="7"/>
  <c r="AB89" i="7"/>
  <c r="AB90" i="7"/>
  <c r="AB91" i="7"/>
  <c r="AB92" i="7"/>
  <c r="AB93" i="7"/>
  <c r="AB94" i="7"/>
  <c r="AB95" i="7"/>
  <c r="AB96" i="7"/>
  <c r="AB97" i="7"/>
  <c r="AB98" i="7"/>
  <c r="AB99" i="7"/>
  <c r="AB100" i="7"/>
  <c r="AB101" i="7"/>
  <c r="AB102" i="7"/>
  <c r="AB103" i="7"/>
  <c r="AB104" i="7"/>
  <c r="AB105" i="7"/>
  <c r="AB106" i="7"/>
  <c r="AB107" i="7"/>
  <c r="AB108" i="7"/>
  <c r="AB109" i="7"/>
  <c r="AB110" i="7"/>
  <c r="AB111" i="7"/>
  <c r="AB112" i="7"/>
  <c r="AB113" i="7"/>
  <c r="AB114" i="7"/>
  <c r="AB115" i="7"/>
  <c r="AB116" i="7"/>
  <c r="AB117" i="7"/>
  <c r="AB118" i="7"/>
  <c r="AB119" i="7"/>
  <c r="AB120" i="7"/>
  <c r="AB121" i="7"/>
  <c r="AB33" i="7"/>
  <c r="AB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32" i="7"/>
  <c r="I3" i="7"/>
  <c r="I4" i="7"/>
  <c r="I5" i="7"/>
  <c r="I6" i="7"/>
  <c r="I7" i="7"/>
  <c r="I8" i="7"/>
  <c r="I9" i="7"/>
  <c r="I10" i="7"/>
  <c r="I11" i="7"/>
  <c r="I12" i="7"/>
  <c r="I13" i="7"/>
  <c r="I15" i="7"/>
  <c r="I16" i="7"/>
  <c r="I17" i="7"/>
  <c r="I18" i="7"/>
  <c r="I19" i="7"/>
  <c r="I20" i="7"/>
  <c r="I21" i="7"/>
  <c r="I22" i="7"/>
  <c r="I23" i="7"/>
  <c r="I24" i="7"/>
  <c r="I25" i="7"/>
  <c r="I26" i="7"/>
  <c r="I27" i="7"/>
  <c r="I2" i="7"/>
  <c r="D114" i="7"/>
  <c r="M114" i="7" s="1"/>
  <c r="I114" i="7"/>
  <c r="X114" i="7" s="1"/>
  <c r="D115" i="7"/>
  <c r="M115" i="7" s="1"/>
  <c r="I115" i="7"/>
  <c r="X115" i="7" s="1"/>
  <c r="D116" i="7"/>
  <c r="M116" i="7" s="1"/>
  <c r="I116" i="7"/>
  <c r="X116" i="7" s="1"/>
  <c r="D117" i="7"/>
  <c r="M117" i="7" s="1"/>
  <c r="I117" i="7"/>
  <c r="AF117" i="7" s="1"/>
  <c r="D118" i="7"/>
  <c r="M118" i="7" s="1"/>
  <c r="I118" i="7"/>
  <c r="P118" i="7" s="1"/>
  <c r="D119" i="7"/>
  <c r="M119" i="7" s="1"/>
  <c r="I119" i="7"/>
  <c r="P119" i="7" s="1"/>
  <c r="D120" i="7"/>
  <c r="M120" i="7" s="1"/>
  <c r="I120" i="7"/>
  <c r="O120" i="7" s="1"/>
  <c r="D121" i="7"/>
  <c r="M121" i="7" s="1"/>
  <c r="I121" i="7"/>
  <c r="AH121" i="7" s="1"/>
  <c r="D109" i="7"/>
  <c r="M109" i="7" s="1"/>
  <c r="I109" i="7"/>
  <c r="AF109" i="7" s="1"/>
  <c r="D110" i="7"/>
  <c r="M110" i="7" s="1"/>
  <c r="I110" i="7"/>
  <c r="P110" i="7" s="1"/>
  <c r="D111" i="7"/>
  <c r="M111" i="7" s="1"/>
  <c r="I111" i="7"/>
  <c r="T111" i="7" s="1"/>
  <c r="D112" i="7"/>
  <c r="M112" i="7" s="1"/>
  <c r="I112" i="7"/>
  <c r="N112" i="7" s="1"/>
  <c r="D113" i="7"/>
  <c r="M113" i="7" s="1"/>
  <c r="I113" i="7"/>
  <c r="U113" i="7" s="1"/>
  <c r="D94" i="7"/>
  <c r="M94" i="7" s="1"/>
  <c r="I94" i="7"/>
  <c r="P94" i="7" s="1"/>
  <c r="D95" i="7"/>
  <c r="M95" i="7" s="1"/>
  <c r="I95" i="7"/>
  <c r="T95" i="7" s="1"/>
  <c r="D96" i="7"/>
  <c r="M96" i="7" s="1"/>
  <c r="I96" i="7"/>
  <c r="AG96" i="7" s="1"/>
  <c r="D97" i="7"/>
  <c r="M97" i="7" s="1"/>
  <c r="I97" i="7"/>
  <c r="AH97" i="7" s="1"/>
  <c r="D98" i="7"/>
  <c r="M98" i="7" s="1"/>
  <c r="I98" i="7"/>
  <c r="N98" i="7" s="1"/>
  <c r="D99" i="7"/>
  <c r="M99" i="7" s="1"/>
  <c r="I99" i="7"/>
  <c r="X99" i="7" s="1"/>
  <c r="D100" i="7"/>
  <c r="M100" i="7" s="1"/>
  <c r="I100" i="7"/>
  <c r="O100" i="7" s="1"/>
  <c r="D101" i="7"/>
  <c r="M101" i="7" s="1"/>
  <c r="I101" i="7"/>
  <c r="U101" i="7" s="1"/>
  <c r="D102" i="7"/>
  <c r="M102" i="7" s="1"/>
  <c r="I102" i="7"/>
  <c r="P102" i="7" s="1"/>
  <c r="D103" i="7"/>
  <c r="M103" i="7" s="1"/>
  <c r="I103" i="7"/>
  <c r="T103" i="7" s="1"/>
  <c r="D104" i="7"/>
  <c r="M104" i="7" s="1"/>
  <c r="I104" i="7"/>
  <c r="U104" i="7" s="1"/>
  <c r="D105" i="7"/>
  <c r="M105" i="7" s="1"/>
  <c r="I105" i="7"/>
  <c r="AH105" i="7" s="1"/>
  <c r="D106" i="7"/>
  <c r="M106" i="7" s="1"/>
  <c r="I106" i="7"/>
  <c r="P106" i="7" s="1"/>
  <c r="D107" i="7"/>
  <c r="M107" i="7" s="1"/>
  <c r="I107" i="7"/>
  <c r="X107" i="7" s="1"/>
  <c r="D108" i="7"/>
  <c r="M108" i="7" s="1"/>
  <c r="I108" i="7"/>
  <c r="O108" i="7" s="1"/>
  <c r="D82" i="7"/>
  <c r="M82" i="7" s="1"/>
  <c r="I82" i="7"/>
  <c r="N82" i="7" s="1"/>
  <c r="D83" i="7"/>
  <c r="M83" i="7" s="1"/>
  <c r="I83" i="7"/>
  <c r="X83" i="7" s="1"/>
  <c r="D84" i="7"/>
  <c r="M84" i="7" s="1"/>
  <c r="I84" i="7"/>
  <c r="X84" i="7" s="1"/>
  <c r="D85" i="7"/>
  <c r="M85" i="7" s="1"/>
  <c r="I85" i="7"/>
  <c r="U85" i="7" s="1"/>
  <c r="D86" i="7"/>
  <c r="M86" i="7" s="1"/>
  <c r="I86" i="7"/>
  <c r="AF86" i="7" s="1"/>
  <c r="D87" i="7"/>
  <c r="M87" i="7" s="1"/>
  <c r="I87" i="7"/>
  <c r="AC87" i="7" s="1"/>
  <c r="D88" i="7"/>
  <c r="M88" i="7" s="1"/>
  <c r="I88" i="7"/>
  <c r="X88" i="7" s="1"/>
  <c r="D89" i="7"/>
  <c r="M89" i="7" s="1"/>
  <c r="I89" i="7"/>
  <c r="AH89" i="7" s="1"/>
  <c r="D90" i="7"/>
  <c r="M90" i="7" s="1"/>
  <c r="I90" i="7"/>
  <c r="P90" i="7" s="1"/>
  <c r="D91" i="7"/>
  <c r="M91" i="7" s="1"/>
  <c r="I91" i="7"/>
  <c r="T91" i="7" s="1"/>
  <c r="D92" i="7"/>
  <c r="M92" i="7" s="1"/>
  <c r="I92" i="7"/>
  <c r="X92" i="7" s="1"/>
  <c r="D93" i="7"/>
  <c r="M93" i="7" s="1"/>
  <c r="I93" i="7"/>
  <c r="U93" i="7" s="1"/>
  <c r="I33" i="7"/>
  <c r="AH33" i="7" s="1"/>
  <c r="I34" i="7"/>
  <c r="P34" i="7" s="1"/>
  <c r="I35" i="7"/>
  <c r="X35" i="7" s="1"/>
  <c r="I36" i="7"/>
  <c r="O36" i="7" s="1"/>
  <c r="I37" i="7"/>
  <c r="U37" i="7" s="1"/>
  <c r="I38" i="7"/>
  <c r="X38" i="7" s="1"/>
  <c r="I39" i="7"/>
  <c r="X39" i="7" s="1"/>
  <c r="I40" i="7"/>
  <c r="AC40" i="7" s="1"/>
  <c r="I41" i="7"/>
  <c r="X41" i="7" s="1"/>
  <c r="I42" i="7"/>
  <c r="P42" i="7" s="1"/>
  <c r="I43" i="7"/>
  <c r="X43" i="7" s="1"/>
  <c r="I44" i="7"/>
  <c r="O44" i="7" s="1"/>
  <c r="I45" i="7"/>
  <c r="U45" i="7" s="1"/>
  <c r="I46" i="7"/>
  <c r="N46" i="7" s="1"/>
  <c r="I47" i="7"/>
  <c r="X47" i="7" s="1"/>
  <c r="I48" i="7"/>
  <c r="U48" i="7" s="1"/>
  <c r="I49" i="7"/>
  <c r="U49" i="7" s="1"/>
  <c r="I50" i="7"/>
  <c r="X50" i="7" s="1"/>
  <c r="I51" i="7"/>
  <c r="X51" i="7" s="1"/>
  <c r="I52" i="7"/>
  <c r="O52" i="7" s="1"/>
  <c r="I53" i="7"/>
  <c r="AC53" i="7" s="1"/>
  <c r="I54" i="7"/>
  <c r="AF54" i="7" s="1"/>
  <c r="I55" i="7"/>
  <c r="X55" i="7" s="1"/>
  <c r="I56" i="7"/>
  <c r="AC56" i="7" s="1"/>
  <c r="I57" i="7"/>
  <c r="AH57" i="7" s="1"/>
  <c r="I58" i="7"/>
  <c r="X58" i="7" s="1"/>
  <c r="I59" i="7"/>
  <c r="X59" i="7" s="1"/>
  <c r="I60" i="7"/>
  <c r="O60" i="7" s="1"/>
  <c r="I61" i="7"/>
  <c r="O61" i="7" s="1"/>
  <c r="I62" i="7"/>
  <c r="N62" i="7" s="1"/>
  <c r="I63" i="7"/>
  <c r="X63" i="7" s="1"/>
  <c r="I64" i="7"/>
  <c r="AG64" i="7" s="1"/>
  <c r="I65" i="7"/>
  <c r="U65" i="7" s="1"/>
  <c r="I66" i="7"/>
  <c r="P66" i="7" s="1"/>
  <c r="I67" i="7"/>
  <c r="X67" i="7" s="1"/>
  <c r="I68" i="7"/>
  <c r="O68" i="7" s="1"/>
  <c r="I69" i="7"/>
  <c r="AC69" i="7" s="1"/>
  <c r="I70" i="7"/>
  <c r="X70" i="7" s="1"/>
  <c r="I71" i="7"/>
  <c r="X71" i="7" s="1"/>
  <c r="I72" i="7"/>
  <c r="AG72" i="7" s="1"/>
  <c r="I73" i="7"/>
  <c r="AH73" i="7" s="1"/>
  <c r="I74" i="7"/>
  <c r="P74" i="7" s="1"/>
  <c r="I75" i="7"/>
  <c r="X75" i="7" s="1"/>
  <c r="I76" i="7"/>
  <c r="O76" i="7" s="1"/>
  <c r="I77" i="7"/>
  <c r="O77" i="7" s="1"/>
  <c r="I78" i="7"/>
  <c r="X78" i="7" s="1"/>
  <c r="I79" i="7"/>
  <c r="X79" i="7" s="1"/>
  <c r="I80" i="7"/>
  <c r="U80" i="7" s="1"/>
  <c r="I81" i="7"/>
  <c r="U81" i="7" s="1"/>
  <c r="I32" i="7"/>
  <c r="P32" i="7" s="1"/>
  <c r="D33" i="7"/>
  <c r="M33" i="7" s="1"/>
  <c r="D34" i="7"/>
  <c r="M34" i="7" s="1"/>
  <c r="D35" i="7"/>
  <c r="M35" i="7" s="1"/>
  <c r="D36" i="7"/>
  <c r="M36" i="7" s="1"/>
  <c r="D37" i="7"/>
  <c r="M37" i="7" s="1"/>
  <c r="D38" i="7"/>
  <c r="M38" i="7" s="1"/>
  <c r="D39" i="7"/>
  <c r="M39" i="7" s="1"/>
  <c r="D40" i="7"/>
  <c r="M40" i="7" s="1"/>
  <c r="D41" i="7"/>
  <c r="M41" i="7" s="1"/>
  <c r="D42" i="7"/>
  <c r="M42" i="7" s="1"/>
  <c r="D43" i="7"/>
  <c r="M43" i="7" s="1"/>
  <c r="D44" i="7"/>
  <c r="M44" i="7" s="1"/>
  <c r="D45" i="7"/>
  <c r="M45" i="7" s="1"/>
  <c r="D46" i="7"/>
  <c r="M46" i="7" s="1"/>
  <c r="D47" i="7"/>
  <c r="M47" i="7" s="1"/>
  <c r="D48" i="7"/>
  <c r="M48" i="7" s="1"/>
  <c r="D49" i="7"/>
  <c r="M49" i="7" s="1"/>
  <c r="D50" i="7"/>
  <c r="M50" i="7" s="1"/>
  <c r="D51" i="7"/>
  <c r="M51" i="7" s="1"/>
  <c r="D52" i="7"/>
  <c r="M52" i="7" s="1"/>
  <c r="D53" i="7"/>
  <c r="M53" i="7" s="1"/>
  <c r="D54" i="7"/>
  <c r="M54" i="7" s="1"/>
  <c r="D55" i="7"/>
  <c r="M55" i="7" s="1"/>
  <c r="D56" i="7"/>
  <c r="M56" i="7" s="1"/>
  <c r="D57" i="7"/>
  <c r="M57" i="7" s="1"/>
  <c r="D58" i="7"/>
  <c r="M58" i="7" s="1"/>
  <c r="D59" i="7"/>
  <c r="M59" i="7" s="1"/>
  <c r="D60" i="7"/>
  <c r="M60" i="7" s="1"/>
  <c r="D61" i="7"/>
  <c r="M61" i="7" s="1"/>
  <c r="D62" i="7"/>
  <c r="M62" i="7" s="1"/>
  <c r="D63" i="7"/>
  <c r="M63" i="7" s="1"/>
  <c r="D64" i="7"/>
  <c r="M64" i="7" s="1"/>
  <c r="D65" i="7"/>
  <c r="M65" i="7" s="1"/>
  <c r="D66" i="7"/>
  <c r="M66" i="7" s="1"/>
  <c r="D67" i="7"/>
  <c r="M67" i="7" s="1"/>
  <c r="D68" i="7"/>
  <c r="M68" i="7" s="1"/>
  <c r="D69" i="7"/>
  <c r="M69" i="7" s="1"/>
  <c r="D70" i="7"/>
  <c r="M70" i="7" s="1"/>
  <c r="D71" i="7"/>
  <c r="M71" i="7" s="1"/>
  <c r="D72" i="7"/>
  <c r="M72" i="7" s="1"/>
  <c r="D73" i="7"/>
  <c r="M73" i="7" s="1"/>
  <c r="D74" i="7"/>
  <c r="M74" i="7" s="1"/>
  <c r="D75" i="7"/>
  <c r="M75" i="7" s="1"/>
  <c r="D76" i="7"/>
  <c r="M76" i="7" s="1"/>
  <c r="D77" i="7"/>
  <c r="M77" i="7" s="1"/>
  <c r="D78" i="7"/>
  <c r="M78" i="7" s="1"/>
  <c r="D79" i="7"/>
  <c r="M79" i="7" s="1"/>
  <c r="D80" i="7"/>
  <c r="M80" i="7" s="1"/>
  <c r="D81" i="7"/>
  <c r="M81" i="7" s="1"/>
  <c r="D32" i="7"/>
  <c r="M32" i="7" s="1"/>
  <c r="B556" i="6" l="1"/>
  <c r="D555" i="6"/>
  <c r="U45" i="8"/>
  <c r="AC113" i="7"/>
  <c r="AC73" i="7"/>
  <c r="N78" i="7"/>
  <c r="U73" i="7"/>
  <c r="AC41" i="7"/>
  <c r="O88" i="7"/>
  <c r="P114" i="7"/>
  <c r="AC81" i="7"/>
  <c r="AC49" i="7"/>
  <c r="N120" i="7"/>
  <c r="N38" i="7"/>
  <c r="O37" i="7"/>
  <c r="P50" i="7"/>
  <c r="U105" i="7"/>
  <c r="AH41" i="7"/>
  <c r="X32" i="7"/>
  <c r="X48" i="7"/>
  <c r="X44" i="7"/>
  <c r="X40" i="7"/>
  <c r="X36" i="7"/>
  <c r="X121" i="7"/>
  <c r="X117" i="7"/>
  <c r="X113" i="7"/>
  <c r="X109" i="7"/>
  <c r="X105" i="7"/>
  <c r="X101" i="7"/>
  <c r="X97" i="7"/>
  <c r="X93" i="7"/>
  <c r="X89" i="7"/>
  <c r="X85" i="7"/>
  <c r="X81" i="7"/>
  <c r="X77" i="7"/>
  <c r="X73" i="7"/>
  <c r="X69" i="7"/>
  <c r="X65" i="7"/>
  <c r="X61" i="7"/>
  <c r="X57" i="7"/>
  <c r="X53" i="7"/>
  <c r="X120" i="7"/>
  <c r="X112" i="7"/>
  <c r="X108" i="7"/>
  <c r="X104" i="7"/>
  <c r="X100" i="7"/>
  <c r="X96" i="7"/>
  <c r="X80" i="7"/>
  <c r="X76" i="7"/>
  <c r="X72" i="7"/>
  <c r="X68" i="7"/>
  <c r="X64" i="7"/>
  <c r="X60" i="7"/>
  <c r="X56" i="7"/>
  <c r="X52" i="7"/>
  <c r="AC105" i="7"/>
  <c r="AC65" i="7"/>
  <c r="AC33" i="7"/>
  <c r="N70" i="7"/>
  <c r="O69" i="7"/>
  <c r="P82" i="7"/>
  <c r="U57" i="7"/>
  <c r="AF105" i="7"/>
  <c r="X46" i="7"/>
  <c r="X42" i="7"/>
  <c r="X34" i="7"/>
  <c r="X119" i="7"/>
  <c r="X111" i="7"/>
  <c r="X103" i="7"/>
  <c r="X95" i="7"/>
  <c r="X91" i="7"/>
  <c r="X87" i="7"/>
  <c r="AC97" i="7"/>
  <c r="AC57" i="7"/>
  <c r="O53" i="7"/>
  <c r="P58" i="7"/>
  <c r="U41" i="7"/>
  <c r="AH65" i="7"/>
  <c r="X49" i="7"/>
  <c r="X45" i="7"/>
  <c r="X37" i="7"/>
  <c r="X33" i="7"/>
  <c r="X118" i="7"/>
  <c r="X110" i="7"/>
  <c r="X106" i="7"/>
  <c r="X102" i="7"/>
  <c r="X98" i="7"/>
  <c r="X94" i="7"/>
  <c r="X90" i="7"/>
  <c r="X86" i="7"/>
  <c r="X82" i="7"/>
  <c r="X74" i="7"/>
  <c r="X66" i="7"/>
  <c r="X62" i="7"/>
  <c r="X54" i="7"/>
  <c r="AC108" i="7"/>
  <c r="AC83" i="7"/>
  <c r="AC60" i="7"/>
  <c r="AC36" i="7"/>
  <c r="O40" i="7"/>
  <c r="U112" i="7"/>
  <c r="AG112" i="7"/>
  <c r="O104" i="7"/>
  <c r="AG104" i="7"/>
  <c r="AC100" i="7"/>
  <c r="AC68" i="7"/>
  <c r="AC44" i="7"/>
  <c r="N94" i="7"/>
  <c r="O112" i="7"/>
  <c r="O56" i="7"/>
  <c r="T94" i="7"/>
  <c r="AG48" i="7"/>
  <c r="N104" i="7"/>
  <c r="O85" i="7"/>
  <c r="U72" i="7"/>
  <c r="U40" i="7"/>
  <c r="AF121" i="7"/>
  <c r="AF102" i="7"/>
  <c r="AG40" i="7"/>
  <c r="AC104" i="7"/>
  <c r="AC64" i="7"/>
  <c r="N32" i="7"/>
  <c r="N115" i="7"/>
  <c r="N86" i="7"/>
  <c r="O80" i="7"/>
  <c r="O64" i="7"/>
  <c r="O48" i="7"/>
  <c r="P98" i="7"/>
  <c r="T119" i="7"/>
  <c r="T102" i="7"/>
  <c r="U121" i="7"/>
  <c r="U33" i="7"/>
  <c r="AF113" i="7"/>
  <c r="AG80" i="7"/>
  <c r="AC115" i="7"/>
  <c r="AC91" i="7"/>
  <c r="AC76" i="7"/>
  <c r="AC52" i="7"/>
  <c r="N108" i="7"/>
  <c r="O72" i="7"/>
  <c r="P87" i="7"/>
  <c r="T110" i="7"/>
  <c r="U96" i="7"/>
  <c r="AC121" i="7"/>
  <c r="AC89" i="7"/>
  <c r="N119" i="7"/>
  <c r="N91" i="7"/>
  <c r="T87" i="7"/>
  <c r="U89" i="7"/>
  <c r="U56" i="7"/>
  <c r="AC119" i="7"/>
  <c r="AC112" i="7"/>
  <c r="AC96" i="7"/>
  <c r="AC80" i="7"/>
  <c r="AC72" i="7"/>
  <c r="AC48" i="7"/>
  <c r="N99" i="7"/>
  <c r="O96" i="7"/>
  <c r="AC117" i="7"/>
  <c r="AC109" i="7"/>
  <c r="AC101" i="7"/>
  <c r="AC93" i="7"/>
  <c r="AC85" i="7"/>
  <c r="AC77" i="7"/>
  <c r="AC61" i="7"/>
  <c r="AC45" i="7"/>
  <c r="AC37" i="7"/>
  <c r="N110" i="7"/>
  <c r="N83" i="7"/>
  <c r="N54" i="7"/>
  <c r="O117" i="7"/>
  <c r="O93" i="7"/>
  <c r="O45" i="7"/>
  <c r="U97" i="7"/>
  <c r="U64" i="7"/>
  <c r="AF110" i="7"/>
  <c r="AH79" i="7"/>
  <c r="AG79" i="7"/>
  <c r="AF79" i="7"/>
  <c r="U79" i="7"/>
  <c r="O79" i="7"/>
  <c r="N79" i="7"/>
  <c r="P79" i="7"/>
  <c r="AC79" i="7"/>
  <c r="T79" i="7"/>
  <c r="AH75" i="7"/>
  <c r="AG75" i="7"/>
  <c r="U75" i="7"/>
  <c r="O75" i="7"/>
  <c r="AF75" i="7"/>
  <c r="P75" i="7"/>
  <c r="T75" i="7"/>
  <c r="AC75" i="7"/>
  <c r="N75" i="7"/>
  <c r="AH71" i="7"/>
  <c r="AG71" i="7"/>
  <c r="AF71" i="7"/>
  <c r="U71" i="7"/>
  <c r="O71" i="7"/>
  <c r="N71" i="7"/>
  <c r="AC71" i="7"/>
  <c r="P71" i="7"/>
  <c r="T71" i="7"/>
  <c r="AH67" i="7"/>
  <c r="AG67" i="7"/>
  <c r="U67" i="7"/>
  <c r="O67" i="7"/>
  <c r="AF67" i="7"/>
  <c r="P67" i="7"/>
  <c r="AC67" i="7"/>
  <c r="N67" i="7"/>
  <c r="T67" i="7"/>
  <c r="AH63" i="7"/>
  <c r="AG63" i="7"/>
  <c r="AF63" i="7"/>
  <c r="U63" i="7"/>
  <c r="O63" i="7"/>
  <c r="N63" i="7"/>
  <c r="P63" i="7"/>
  <c r="T63" i="7"/>
  <c r="AC63" i="7"/>
  <c r="AH59" i="7"/>
  <c r="AG59" i="7"/>
  <c r="U59" i="7"/>
  <c r="O59" i="7"/>
  <c r="AF59" i="7"/>
  <c r="P59" i="7"/>
  <c r="T59" i="7"/>
  <c r="AC59" i="7"/>
  <c r="N59" i="7"/>
  <c r="AH55" i="7"/>
  <c r="AG55" i="7"/>
  <c r="AF55" i="7"/>
  <c r="U55" i="7"/>
  <c r="O55" i="7"/>
  <c r="N55" i="7"/>
  <c r="AC55" i="7"/>
  <c r="P55" i="7"/>
  <c r="T55" i="7"/>
  <c r="AH51" i="7"/>
  <c r="AG51" i="7"/>
  <c r="U51" i="7"/>
  <c r="O51" i="7"/>
  <c r="AF51" i="7"/>
  <c r="P51" i="7"/>
  <c r="T51" i="7"/>
  <c r="AC51" i="7"/>
  <c r="N51" i="7"/>
  <c r="AH47" i="7"/>
  <c r="AG47" i="7"/>
  <c r="AF47" i="7"/>
  <c r="U47" i="7"/>
  <c r="O47" i="7"/>
  <c r="N47" i="7"/>
  <c r="P47" i="7"/>
  <c r="T47" i="7"/>
  <c r="AC47" i="7"/>
  <c r="AH43" i="7"/>
  <c r="AG43" i="7"/>
  <c r="U43" i="7"/>
  <c r="O43" i="7"/>
  <c r="AF43" i="7"/>
  <c r="P43" i="7"/>
  <c r="N43" i="7"/>
  <c r="T43" i="7"/>
  <c r="AC43" i="7"/>
  <c r="AH39" i="7"/>
  <c r="AG39" i="7"/>
  <c r="AF39" i="7"/>
  <c r="U39" i="7"/>
  <c r="O39" i="7"/>
  <c r="N39" i="7"/>
  <c r="AC39" i="7"/>
  <c r="P39" i="7"/>
  <c r="T39" i="7"/>
  <c r="AH35" i="7"/>
  <c r="AG35" i="7"/>
  <c r="U35" i="7"/>
  <c r="O35" i="7"/>
  <c r="AF35" i="7"/>
  <c r="P35" i="7"/>
  <c r="T35" i="7"/>
  <c r="AC35" i="7"/>
  <c r="N35" i="7"/>
  <c r="AH32" i="7"/>
  <c r="AG32" i="7"/>
  <c r="AF32" i="7"/>
  <c r="U32" i="7"/>
  <c r="O32" i="7"/>
  <c r="AG78" i="7"/>
  <c r="U78" i="7"/>
  <c r="O78" i="7"/>
  <c r="AH78" i="7"/>
  <c r="AG74" i="7"/>
  <c r="AH74" i="7"/>
  <c r="U74" i="7"/>
  <c r="O74" i="7"/>
  <c r="AF74" i="7"/>
  <c r="AG70" i="7"/>
  <c r="U70" i="7"/>
  <c r="O70" i="7"/>
  <c r="AH70" i="7"/>
  <c r="AG66" i="7"/>
  <c r="AH66" i="7"/>
  <c r="U66" i="7"/>
  <c r="O66" i="7"/>
  <c r="AF66" i="7"/>
  <c r="AG62" i="7"/>
  <c r="U62" i="7"/>
  <c r="O62" i="7"/>
  <c r="AH62" i="7"/>
  <c r="AG58" i="7"/>
  <c r="AH58" i="7"/>
  <c r="U58" i="7"/>
  <c r="O58" i="7"/>
  <c r="AF58" i="7"/>
  <c r="AG54" i="7"/>
  <c r="U54" i="7"/>
  <c r="O54" i="7"/>
  <c r="AH54" i="7"/>
  <c r="AG50" i="7"/>
  <c r="AH50" i="7"/>
  <c r="U50" i="7"/>
  <c r="O50" i="7"/>
  <c r="AF50" i="7"/>
  <c r="AG46" i="7"/>
  <c r="U46" i="7"/>
  <c r="O46" i="7"/>
  <c r="AH46" i="7"/>
  <c r="AG42" i="7"/>
  <c r="AH42" i="7"/>
  <c r="U42" i="7"/>
  <c r="O42" i="7"/>
  <c r="AF42" i="7"/>
  <c r="AG38" i="7"/>
  <c r="U38" i="7"/>
  <c r="O38" i="7"/>
  <c r="AH38" i="7"/>
  <c r="AG34" i="7"/>
  <c r="AH34" i="7"/>
  <c r="U34" i="7"/>
  <c r="O34" i="7"/>
  <c r="AF34" i="7"/>
  <c r="AF92" i="7"/>
  <c r="AH92" i="7"/>
  <c r="T92" i="7"/>
  <c r="P92" i="7"/>
  <c r="N92" i="7"/>
  <c r="AG92" i="7"/>
  <c r="AG90" i="7"/>
  <c r="AH90" i="7"/>
  <c r="U90" i="7"/>
  <c r="O90" i="7"/>
  <c r="AF90" i="7"/>
  <c r="AG86" i="7"/>
  <c r="U86" i="7"/>
  <c r="O86" i="7"/>
  <c r="AH86" i="7"/>
  <c r="AF84" i="7"/>
  <c r="AH84" i="7"/>
  <c r="T84" i="7"/>
  <c r="P84" i="7"/>
  <c r="N84" i="7"/>
  <c r="AG84" i="7"/>
  <c r="AH107" i="7"/>
  <c r="AG107" i="7"/>
  <c r="AF107" i="7"/>
  <c r="U107" i="7"/>
  <c r="O107" i="7"/>
  <c r="AH103" i="7"/>
  <c r="AG103" i="7"/>
  <c r="AF103" i="7"/>
  <c r="U103" i="7"/>
  <c r="O103" i="7"/>
  <c r="AH99" i="7"/>
  <c r="AG99" i="7"/>
  <c r="U99" i="7"/>
  <c r="O99" i="7"/>
  <c r="AH95" i="7"/>
  <c r="AG95" i="7"/>
  <c r="AF95" i="7"/>
  <c r="U95" i="7"/>
  <c r="O95" i="7"/>
  <c r="AH111" i="7"/>
  <c r="AG111" i="7"/>
  <c r="AF111" i="7"/>
  <c r="U111" i="7"/>
  <c r="O111" i="7"/>
  <c r="AH120" i="7"/>
  <c r="T120" i="7"/>
  <c r="P120" i="7"/>
  <c r="AF120" i="7"/>
  <c r="AH116" i="7"/>
  <c r="T116" i="7"/>
  <c r="P116" i="7"/>
  <c r="AG116" i="7"/>
  <c r="AF116" i="7"/>
  <c r="AC116" i="7"/>
  <c r="AC92" i="7"/>
  <c r="AC84" i="7"/>
  <c r="O109" i="7"/>
  <c r="P103" i="7"/>
  <c r="T118" i="7"/>
  <c r="T86" i="7"/>
  <c r="T70" i="7"/>
  <c r="T54" i="7"/>
  <c r="T38" i="7"/>
  <c r="AF118" i="7"/>
  <c r="AF78" i="7"/>
  <c r="AF46" i="7"/>
  <c r="AF77" i="7"/>
  <c r="AH77" i="7"/>
  <c r="T77" i="7"/>
  <c r="P77" i="7"/>
  <c r="N77" i="7"/>
  <c r="AG77" i="7"/>
  <c r="AF69" i="7"/>
  <c r="AH69" i="7"/>
  <c r="T69" i="7"/>
  <c r="P69" i="7"/>
  <c r="N69" i="7"/>
  <c r="AG69" i="7"/>
  <c r="AF61" i="7"/>
  <c r="AH61" i="7"/>
  <c r="T61" i="7"/>
  <c r="P61" i="7"/>
  <c r="N61" i="7"/>
  <c r="AG61" i="7"/>
  <c r="AF53" i="7"/>
  <c r="AH53" i="7"/>
  <c r="T53" i="7"/>
  <c r="P53" i="7"/>
  <c r="N53" i="7"/>
  <c r="AG53" i="7"/>
  <c r="AF41" i="7"/>
  <c r="AG41" i="7"/>
  <c r="T41" i="7"/>
  <c r="P41" i="7"/>
  <c r="N41" i="7"/>
  <c r="AC107" i="7"/>
  <c r="AC99" i="7"/>
  <c r="N118" i="7"/>
  <c r="N107" i="7"/>
  <c r="N102" i="7"/>
  <c r="N96" i="7"/>
  <c r="N90" i="7"/>
  <c r="N74" i="7"/>
  <c r="N66" i="7"/>
  <c r="N58" i="7"/>
  <c r="N50" i="7"/>
  <c r="N42" i="7"/>
  <c r="N34" i="7"/>
  <c r="O116" i="7"/>
  <c r="O92" i="7"/>
  <c r="O84" i="7"/>
  <c r="P86" i="7"/>
  <c r="P78" i="7"/>
  <c r="P70" i="7"/>
  <c r="P62" i="7"/>
  <c r="P54" i="7"/>
  <c r="P46" i="7"/>
  <c r="P38" i="7"/>
  <c r="T115" i="7"/>
  <c r="T107" i="7"/>
  <c r="T99" i="7"/>
  <c r="T83" i="7"/>
  <c r="U117" i="7"/>
  <c r="U109" i="7"/>
  <c r="U77" i="7"/>
  <c r="U69" i="7"/>
  <c r="U61" i="7"/>
  <c r="U53" i="7"/>
  <c r="AF99" i="7"/>
  <c r="AF70" i="7"/>
  <c r="AF38" i="7"/>
  <c r="AF88" i="7"/>
  <c r="AH88" i="7"/>
  <c r="T88" i="7"/>
  <c r="P88" i="7"/>
  <c r="N88" i="7"/>
  <c r="AG82" i="7"/>
  <c r="AH82" i="7"/>
  <c r="U82" i="7"/>
  <c r="O82" i="7"/>
  <c r="AF82" i="7"/>
  <c r="AG105" i="7"/>
  <c r="T105" i="7"/>
  <c r="P105" i="7"/>
  <c r="N105" i="7"/>
  <c r="AF101" i="7"/>
  <c r="AH101" i="7"/>
  <c r="T101" i="7"/>
  <c r="P101" i="7"/>
  <c r="N101" i="7"/>
  <c r="AG101" i="7"/>
  <c r="AF97" i="7"/>
  <c r="AG97" i="7"/>
  <c r="T97" i="7"/>
  <c r="P97" i="7"/>
  <c r="N97" i="7"/>
  <c r="AG113" i="7"/>
  <c r="T113" i="7"/>
  <c r="P113" i="7"/>
  <c r="N113" i="7"/>
  <c r="AH109" i="7"/>
  <c r="T109" i="7"/>
  <c r="P109" i="7"/>
  <c r="N109" i="7"/>
  <c r="AG109" i="7"/>
  <c r="AG118" i="7"/>
  <c r="U118" i="7"/>
  <c r="O118" i="7"/>
  <c r="AH118" i="7"/>
  <c r="AG114" i="7"/>
  <c r="AH114" i="7"/>
  <c r="U114" i="7"/>
  <c r="O114" i="7"/>
  <c r="AC120" i="7"/>
  <c r="AC88" i="7"/>
  <c r="N114" i="7"/>
  <c r="N103" i="7"/>
  <c r="O101" i="7"/>
  <c r="P111" i="7"/>
  <c r="P95" i="7"/>
  <c r="T78" i="7"/>
  <c r="T62" i="7"/>
  <c r="T46" i="7"/>
  <c r="U120" i="7"/>
  <c r="U88" i="7"/>
  <c r="AF81" i="7"/>
  <c r="AG81" i="7"/>
  <c r="T81" i="7"/>
  <c r="P81" i="7"/>
  <c r="N81" i="7"/>
  <c r="AF73" i="7"/>
  <c r="AG73" i="7"/>
  <c r="T73" i="7"/>
  <c r="P73" i="7"/>
  <c r="N73" i="7"/>
  <c r="AF65" i="7"/>
  <c r="AG65" i="7"/>
  <c r="T65" i="7"/>
  <c r="P65" i="7"/>
  <c r="N65" i="7"/>
  <c r="AF57" i="7"/>
  <c r="AG57" i="7"/>
  <c r="T57" i="7"/>
  <c r="P57" i="7"/>
  <c r="N57" i="7"/>
  <c r="AF49" i="7"/>
  <c r="AG49" i="7"/>
  <c r="T49" i="7"/>
  <c r="P49" i="7"/>
  <c r="N49" i="7"/>
  <c r="AF45" i="7"/>
  <c r="AH45" i="7"/>
  <c r="T45" i="7"/>
  <c r="P45" i="7"/>
  <c r="N45" i="7"/>
  <c r="AG45" i="7"/>
  <c r="AF37" i="7"/>
  <c r="AH37" i="7"/>
  <c r="T37" i="7"/>
  <c r="P37" i="7"/>
  <c r="N37" i="7"/>
  <c r="AG37" i="7"/>
  <c r="AG33" i="7"/>
  <c r="T33" i="7"/>
  <c r="P33" i="7"/>
  <c r="N33" i="7"/>
  <c r="AC111" i="7"/>
  <c r="AC103" i="7"/>
  <c r="AC95" i="7"/>
  <c r="AF80" i="7"/>
  <c r="AH80" i="7"/>
  <c r="T80" i="7"/>
  <c r="P80" i="7"/>
  <c r="N80" i="7"/>
  <c r="AF76" i="7"/>
  <c r="AH76" i="7"/>
  <c r="T76" i="7"/>
  <c r="P76" i="7"/>
  <c r="N76" i="7"/>
  <c r="AG76" i="7"/>
  <c r="AF72" i="7"/>
  <c r="AH72" i="7"/>
  <c r="T72" i="7"/>
  <c r="P72" i="7"/>
  <c r="N72" i="7"/>
  <c r="AF68" i="7"/>
  <c r="AH68" i="7"/>
  <c r="T68" i="7"/>
  <c r="P68" i="7"/>
  <c r="N68" i="7"/>
  <c r="AG68" i="7"/>
  <c r="AF64" i="7"/>
  <c r="AH64" i="7"/>
  <c r="T64" i="7"/>
  <c r="P64" i="7"/>
  <c r="N64" i="7"/>
  <c r="AF60" i="7"/>
  <c r="AH60" i="7"/>
  <c r="T60" i="7"/>
  <c r="P60" i="7"/>
  <c r="N60" i="7"/>
  <c r="AG60" i="7"/>
  <c r="AF56" i="7"/>
  <c r="AH56" i="7"/>
  <c r="T56" i="7"/>
  <c r="P56" i="7"/>
  <c r="N56" i="7"/>
  <c r="AF52" i="7"/>
  <c r="AH52" i="7"/>
  <c r="T52" i="7"/>
  <c r="P52" i="7"/>
  <c r="N52" i="7"/>
  <c r="AG52" i="7"/>
  <c r="AF48" i="7"/>
  <c r="AH48" i="7"/>
  <c r="T48" i="7"/>
  <c r="P48" i="7"/>
  <c r="N48" i="7"/>
  <c r="AF44" i="7"/>
  <c r="AH44" i="7"/>
  <c r="T44" i="7"/>
  <c r="P44" i="7"/>
  <c r="N44" i="7"/>
  <c r="AG44" i="7"/>
  <c r="AF40" i="7"/>
  <c r="AH40" i="7"/>
  <c r="T40" i="7"/>
  <c r="P40" i="7"/>
  <c r="N40" i="7"/>
  <c r="AF36" i="7"/>
  <c r="AH36" i="7"/>
  <c r="T36" i="7"/>
  <c r="P36" i="7"/>
  <c r="N36" i="7"/>
  <c r="AG36" i="7"/>
  <c r="AF93" i="7"/>
  <c r="AH93" i="7"/>
  <c r="T93" i="7"/>
  <c r="P93" i="7"/>
  <c r="N93" i="7"/>
  <c r="AG93" i="7"/>
  <c r="AH91" i="7"/>
  <c r="AG91" i="7"/>
  <c r="U91" i="7"/>
  <c r="O91" i="7"/>
  <c r="AF91" i="7"/>
  <c r="AF89" i="7"/>
  <c r="AG89" i="7"/>
  <c r="T89" i="7"/>
  <c r="P89" i="7"/>
  <c r="N89" i="7"/>
  <c r="AH87" i="7"/>
  <c r="AG87" i="7"/>
  <c r="AF87" i="7"/>
  <c r="U87" i="7"/>
  <c r="O87" i="7"/>
  <c r="AF85" i="7"/>
  <c r="AH85" i="7"/>
  <c r="T85" i="7"/>
  <c r="P85" i="7"/>
  <c r="N85" i="7"/>
  <c r="AG85" i="7"/>
  <c r="AH83" i="7"/>
  <c r="AG83" i="7"/>
  <c r="U83" i="7"/>
  <c r="O83" i="7"/>
  <c r="AF83" i="7"/>
  <c r="AH108" i="7"/>
  <c r="T108" i="7"/>
  <c r="P108" i="7"/>
  <c r="AG108" i="7"/>
  <c r="AF108" i="7"/>
  <c r="AG106" i="7"/>
  <c r="AH106" i="7"/>
  <c r="U106" i="7"/>
  <c r="O106" i="7"/>
  <c r="AH104" i="7"/>
  <c r="T104" i="7"/>
  <c r="P104" i="7"/>
  <c r="AF104" i="7"/>
  <c r="AG102" i="7"/>
  <c r="U102" i="7"/>
  <c r="O102" i="7"/>
  <c r="AH102" i="7"/>
  <c r="AF100" i="7"/>
  <c r="AH100" i="7"/>
  <c r="T100" i="7"/>
  <c r="P100" i="7"/>
  <c r="AG100" i="7"/>
  <c r="AG98" i="7"/>
  <c r="AH98" i="7"/>
  <c r="U98" i="7"/>
  <c r="O98" i="7"/>
  <c r="AF98" i="7"/>
  <c r="AF96" i="7"/>
  <c r="AH96" i="7"/>
  <c r="T96" i="7"/>
  <c r="P96" i="7"/>
  <c r="AG94" i="7"/>
  <c r="U94" i="7"/>
  <c r="O94" i="7"/>
  <c r="AH94" i="7"/>
  <c r="AH112" i="7"/>
  <c r="T112" i="7"/>
  <c r="P112" i="7"/>
  <c r="AF112" i="7"/>
  <c r="AG110" i="7"/>
  <c r="U110" i="7"/>
  <c r="O110" i="7"/>
  <c r="AH110" i="7"/>
  <c r="AG121" i="7"/>
  <c r="T121" i="7"/>
  <c r="P121" i="7"/>
  <c r="N121" i="7"/>
  <c r="AH119" i="7"/>
  <c r="AG119" i="7"/>
  <c r="AF119" i="7"/>
  <c r="U119" i="7"/>
  <c r="O119" i="7"/>
  <c r="AH117" i="7"/>
  <c r="T117" i="7"/>
  <c r="P117" i="7"/>
  <c r="N117" i="7"/>
  <c r="AG117" i="7"/>
  <c r="AH115" i="7"/>
  <c r="AG115" i="7"/>
  <c r="AF115" i="7"/>
  <c r="U115" i="7"/>
  <c r="O115" i="7"/>
  <c r="AC118" i="7"/>
  <c r="AC114" i="7"/>
  <c r="AC110" i="7"/>
  <c r="AC106" i="7"/>
  <c r="AC102" i="7"/>
  <c r="AC98" i="7"/>
  <c r="AC94" i="7"/>
  <c r="AC90" i="7"/>
  <c r="AC86" i="7"/>
  <c r="AC82" i="7"/>
  <c r="AC78" i="7"/>
  <c r="AC74" i="7"/>
  <c r="AC70" i="7"/>
  <c r="AC66" i="7"/>
  <c r="AC62" i="7"/>
  <c r="AC58" i="7"/>
  <c r="AC54" i="7"/>
  <c r="AC50" i="7"/>
  <c r="AC46" i="7"/>
  <c r="AC42" i="7"/>
  <c r="AC38" i="7"/>
  <c r="AC34" i="7"/>
  <c r="N116" i="7"/>
  <c r="N111" i="7"/>
  <c r="N106" i="7"/>
  <c r="N100" i="7"/>
  <c r="N95" i="7"/>
  <c r="N87" i="7"/>
  <c r="O121" i="7"/>
  <c r="O113" i="7"/>
  <c r="O105" i="7"/>
  <c r="O97" i="7"/>
  <c r="O89" i="7"/>
  <c r="O81" i="7"/>
  <c r="O73" i="7"/>
  <c r="O65" i="7"/>
  <c r="O57" i="7"/>
  <c r="O49" i="7"/>
  <c r="O41" i="7"/>
  <c r="O33" i="7"/>
  <c r="P115" i="7"/>
  <c r="P107" i="7"/>
  <c r="P99" i="7"/>
  <c r="P91" i="7"/>
  <c r="P83" i="7"/>
  <c r="T32" i="7"/>
  <c r="T114" i="7"/>
  <c r="T106" i="7"/>
  <c r="T98" i="7"/>
  <c r="T90" i="7"/>
  <c r="T82" i="7"/>
  <c r="T74" i="7"/>
  <c r="T66" i="7"/>
  <c r="T58" i="7"/>
  <c r="T50" i="7"/>
  <c r="T42" i="7"/>
  <c r="T34" i="7"/>
  <c r="U116" i="7"/>
  <c r="U108" i="7"/>
  <c r="U100" i="7"/>
  <c r="U92" i="7"/>
  <c r="U84" i="7"/>
  <c r="U76" i="7"/>
  <c r="U68" i="7"/>
  <c r="U60" i="7"/>
  <c r="U52" i="7"/>
  <c r="U44" i="7"/>
  <c r="U36" i="7"/>
  <c r="AF33" i="7"/>
  <c r="AF114" i="7"/>
  <c r="AF106" i="7"/>
  <c r="AF94" i="7"/>
  <c r="AF62" i="7"/>
  <c r="AG120" i="7"/>
  <c r="AG88" i="7"/>
  <c r="AG56" i="7"/>
  <c r="AH113" i="7"/>
  <c r="AH81" i="7"/>
  <c r="AH49" i="7"/>
  <c r="AC32" i="7"/>
  <c r="B557" i="6" l="1"/>
  <c r="D556" i="6"/>
  <c r="AI47" i="7"/>
  <c r="AL47" i="7" s="1"/>
  <c r="E47" i="7" s="1"/>
  <c r="G47" i="7" s="1"/>
  <c r="AJ103" i="7"/>
  <c r="AM103" i="7" s="1"/>
  <c r="J103" i="7" s="1"/>
  <c r="L103" i="7" s="1"/>
  <c r="AJ116" i="7"/>
  <c r="AM116" i="7" s="1"/>
  <c r="J116" i="7" s="1"/>
  <c r="L116" i="7" s="1"/>
  <c r="AJ109" i="7"/>
  <c r="AM109" i="7" s="1"/>
  <c r="J109" i="7" s="1"/>
  <c r="L109" i="7" s="1"/>
  <c r="AJ102" i="7"/>
  <c r="AM102" i="7" s="1"/>
  <c r="J102" i="7" s="1"/>
  <c r="L102" i="7" s="1"/>
  <c r="AJ68" i="7"/>
  <c r="AM68" i="7" s="1"/>
  <c r="J68" i="7" s="1"/>
  <c r="L68" i="7" s="1"/>
  <c r="AI120" i="7"/>
  <c r="AL120" i="7" s="1"/>
  <c r="E120" i="7" s="1"/>
  <c r="G120" i="7" s="1"/>
  <c r="AI68" i="7"/>
  <c r="AL68" i="7" s="1"/>
  <c r="E68" i="7" s="1"/>
  <c r="G68" i="7" s="1"/>
  <c r="AJ91" i="7"/>
  <c r="AM91" i="7" s="1"/>
  <c r="J91" i="7" s="1"/>
  <c r="L91" i="7" s="1"/>
  <c r="AJ100" i="7"/>
  <c r="AM100" i="7" s="1"/>
  <c r="J100" i="7" s="1"/>
  <c r="L100" i="7" s="1"/>
  <c r="AJ94" i="7"/>
  <c r="AM94" i="7" s="1"/>
  <c r="J94" i="7" s="1"/>
  <c r="L94" i="7" s="1"/>
  <c r="AI40" i="7"/>
  <c r="AL40" i="7" s="1"/>
  <c r="E40" i="7" s="1"/>
  <c r="G40" i="7" s="1"/>
  <c r="AJ52" i="7"/>
  <c r="AM52" i="7" s="1"/>
  <c r="J52" i="7" s="1"/>
  <c r="L52" i="7" s="1"/>
  <c r="AI41" i="7"/>
  <c r="AL41" i="7" s="1"/>
  <c r="E41" i="7" s="1"/>
  <c r="G41" i="7" s="1"/>
  <c r="AJ77" i="7"/>
  <c r="AM77" i="7" s="1"/>
  <c r="J77" i="7" s="1"/>
  <c r="L77" i="7" s="1"/>
  <c r="AI61" i="7"/>
  <c r="AL61" i="7" s="1"/>
  <c r="E61" i="7" s="1"/>
  <c r="G61" i="7" s="1"/>
  <c r="AJ62" i="7"/>
  <c r="AM62" i="7" s="1"/>
  <c r="J62" i="7" s="1"/>
  <c r="L62" i="7" s="1"/>
  <c r="AJ73" i="7"/>
  <c r="AM73" i="7" s="1"/>
  <c r="J73" i="7" s="1"/>
  <c r="L73" i="7" s="1"/>
  <c r="AI109" i="7"/>
  <c r="AL109" i="7" s="1"/>
  <c r="E109" i="7" s="1"/>
  <c r="G109" i="7" s="1"/>
  <c r="AJ63" i="7"/>
  <c r="AM63" i="7" s="1"/>
  <c r="J63" i="7" s="1"/>
  <c r="L63" i="7" s="1"/>
  <c r="AI75" i="7"/>
  <c r="AL75" i="7" s="1"/>
  <c r="E75" i="7" s="1"/>
  <c r="G75" i="7" s="1"/>
  <c r="AI64" i="7"/>
  <c r="AL64" i="7" s="1"/>
  <c r="E64" i="7" s="1"/>
  <c r="G64" i="7" s="1"/>
  <c r="AI53" i="7"/>
  <c r="AL53" i="7" s="1"/>
  <c r="E53" i="7" s="1"/>
  <c r="G53" i="7" s="1"/>
  <c r="AJ41" i="7"/>
  <c r="AM41" i="7" s="1"/>
  <c r="J41" i="7" s="1"/>
  <c r="L41" i="7" s="1"/>
  <c r="AJ57" i="7"/>
  <c r="AM57" i="7" s="1"/>
  <c r="J57" i="7" s="1"/>
  <c r="L57" i="7" s="1"/>
  <c r="AI89" i="7"/>
  <c r="AL89" i="7" s="1"/>
  <c r="E89" i="7" s="1"/>
  <c r="G89" i="7" s="1"/>
  <c r="AI121" i="7"/>
  <c r="AL121" i="7" s="1"/>
  <c r="E121" i="7" s="1"/>
  <c r="G121" i="7" s="1"/>
  <c r="AI117" i="7"/>
  <c r="AL117" i="7" s="1"/>
  <c r="E117" i="7" s="1"/>
  <c r="G117" i="7" s="1"/>
  <c r="AI108" i="7"/>
  <c r="AL108" i="7" s="1"/>
  <c r="E108" i="7" s="1"/>
  <c r="G108" i="7" s="1"/>
  <c r="AI83" i="7"/>
  <c r="AL83" i="7" s="1"/>
  <c r="E83" i="7" s="1"/>
  <c r="G83" i="7" s="1"/>
  <c r="AI93" i="7"/>
  <c r="AL93" i="7" s="1"/>
  <c r="E93" i="7" s="1"/>
  <c r="G93" i="7" s="1"/>
  <c r="AJ36" i="7"/>
  <c r="AM36" i="7" s="1"/>
  <c r="J36" i="7" s="1"/>
  <c r="L36" i="7" s="1"/>
  <c r="AI111" i="7"/>
  <c r="AL111" i="7" s="1"/>
  <c r="E111" i="7" s="1"/>
  <c r="G111" i="7" s="1"/>
  <c r="AJ84" i="7"/>
  <c r="AM84" i="7" s="1"/>
  <c r="J84" i="7" s="1"/>
  <c r="L84" i="7" s="1"/>
  <c r="AJ39" i="7"/>
  <c r="AM39" i="7" s="1"/>
  <c r="J39" i="7" s="1"/>
  <c r="L39" i="7" s="1"/>
  <c r="AI51" i="7"/>
  <c r="AL51" i="7" s="1"/>
  <c r="E51" i="7" s="1"/>
  <c r="G51" i="7" s="1"/>
  <c r="AI55" i="7"/>
  <c r="AL55" i="7" s="1"/>
  <c r="E55" i="7" s="1"/>
  <c r="G55" i="7" s="1"/>
  <c r="AI71" i="7"/>
  <c r="AL71" i="7" s="1"/>
  <c r="E71" i="7" s="1"/>
  <c r="G71" i="7" s="1"/>
  <c r="AJ35" i="7"/>
  <c r="AM35" i="7" s="1"/>
  <c r="J35" i="7" s="1"/>
  <c r="L35" i="7" s="1"/>
  <c r="AJ47" i="7"/>
  <c r="AM47" i="7" s="1"/>
  <c r="J47" i="7" s="1"/>
  <c r="L47" i="7" s="1"/>
  <c r="AJ51" i="7"/>
  <c r="AM51" i="7" s="1"/>
  <c r="J51" i="7" s="1"/>
  <c r="L51" i="7" s="1"/>
  <c r="AJ55" i="7"/>
  <c r="AM55" i="7" s="1"/>
  <c r="J55" i="7" s="1"/>
  <c r="L55" i="7" s="1"/>
  <c r="AJ59" i="7"/>
  <c r="AM59" i="7" s="1"/>
  <c r="J59" i="7" s="1"/>
  <c r="L59" i="7" s="1"/>
  <c r="AI63" i="7"/>
  <c r="AL63" i="7" s="1"/>
  <c r="E63" i="7" s="1"/>
  <c r="G63" i="7" s="1"/>
  <c r="AI67" i="7"/>
  <c r="AL67" i="7" s="1"/>
  <c r="E67" i="7" s="1"/>
  <c r="G67" i="7" s="1"/>
  <c r="AJ75" i="7"/>
  <c r="AM75" i="7" s="1"/>
  <c r="J75" i="7" s="1"/>
  <c r="L75" i="7" s="1"/>
  <c r="AJ89" i="7"/>
  <c r="AM89" i="7" s="1"/>
  <c r="J89" i="7" s="1"/>
  <c r="L89" i="7" s="1"/>
  <c r="AI39" i="7"/>
  <c r="AL39" i="7" s="1"/>
  <c r="E39" i="7" s="1"/>
  <c r="G39" i="7" s="1"/>
  <c r="AJ43" i="7"/>
  <c r="AM43" i="7" s="1"/>
  <c r="J43" i="7" s="1"/>
  <c r="L43" i="7" s="1"/>
  <c r="AJ79" i="7"/>
  <c r="AM79" i="7" s="1"/>
  <c r="J79" i="7" s="1"/>
  <c r="L79" i="7" s="1"/>
  <c r="AI57" i="7"/>
  <c r="AL57" i="7" s="1"/>
  <c r="E57" i="7" s="1"/>
  <c r="G57" i="7" s="1"/>
  <c r="AJ70" i="7"/>
  <c r="AM70" i="7" s="1"/>
  <c r="J70" i="7" s="1"/>
  <c r="L70" i="7" s="1"/>
  <c r="AJ71" i="7"/>
  <c r="AM71" i="7" s="1"/>
  <c r="J71" i="7" s="1"/>
  <c r="L71" i="7" s="1"/>
  <c r="AI52" i="7"/>
  <c r="AL52" i="7" s="1"/>
  <c r="E52" i="7" s="1"/>
  <c r="G52" i="7" s="1"/>
  <c r="AI84" i="7"/>
  <c r="AL84" i="7" s="1"/>
  <c r="E84" i="7" s="1"/>
  <c r="G84" i="7" s="1"/>
  <c r="AJ107" i="7"/>
  <c r="AM107" i="7" s="1"/>
  <c r="J107" i="7" s="1"/>
  <c r="L107" i="7" s="1"/>
  <c r="AJ49" i="7"/>
  <c r="AM49" i="7" s="1"/>
  <c r="J49" i="7" s="1"/>
  <c r="L49" i="7" s="1"/>
  <c r="AJ81" i="7"/>
  <c r="AM81" i="7" s="1"/>
  <c r="J81" i="7" s="1"/>
  <c r="L81" i="7" s="1"/>
  <c r="AI113" i="7"/>
  <c r="AL113" i="7" s="1"/>
  <c r="E113" i="7" s="1"/>
  <c r="G113" i="7" s="1"/>
  <c r="AI115" i="7"/>
  <c r="AL115" i="7" s="1"/>
  <c r="E115" i="7" s="1"/>
  <c r="G115" i="7" s="1"/>
  <c r="AJ117" i="7"/>
  <c r="AM117" i="7" s="1"/>
  <c r="J117" i="7" s="1"/>
  <c r="L117" i="7" s="1"/>
  <c r="AI119" i="7"/>
  <c r="AL119" i="7" s="1"/>
  <c r="E119" i="7" s="1"/>
  <c r="G119" i="7" s="1"/>
  <c r="AJ121" i="7"/>
  <c r="AM121" i="7" s="1"/>
  <c r="J121" i="7" s="1"/>
  <c r="L121" i="7" s="1"/>
  <c r="AJ110" i="7"/>
  <c r="AM110" i="7" s="1"/>
  <c r="J110" i="7" s="1"/>
  <c r="L110" i="7" s="1"/>
  <c r="AI112" i="7"/>
  <c r="AL112" i="7" s="1"/>
  <c r="E112" i="7" s="1"/>
  <c r="G112" i="7" s="1"/>
  <c r="AI96" i="7"/>
  <c r="AL96" i="7" s="1"/>
  <c r="E96" i="7" s="1"/>
  <c r="G96" i="7" s="1"/>
  <c r="AI100" i="7"/>
  <c r="AL100" i="7" s="1"/>
  <c r="E100" i="7" s="1"/>
  <c r="G100" i="7" s="1"/>
  <c r="AI102" i="7"/>
  <c r="AL102" i="7" s="1"/>
  <c r="E102" i="7" s="1"/>
  <c r="G102" i="7" s="1"/>
  <c r="AI104" i="7"/>
  <c r="AL104" i="7" s="1"/>
  <c r="E104" i="7" s="1"/>
  <c r="G104" i="7" s="1"/>
  <c r="AJ108" i="7"/>
  <c r="AM108" i="7" s="1"/>
  <c r="J108" i="7" s="1"/>
  <c r="L108" i="7" s="1"/>
  <c r="AJ83" i="7"/>
  <c r="AM83" i="7" s="1"/>
  <c r="J83" i="7" s="1"/>
  <c r="L83" i="7" s="1"/>
  <c r="AI85" i="7"/>
  <c r="AL85" i="7" s="1"/>
  <c r="E85" i="7" s="1"/>
  <c r="G85" i="7" s="1"/>
  <c r="AJ87" i="7"/>
  <c r="AM87" i="7" s="1"/>
  <c r="J87" i="7" s="1"/>
  <c r="L87" i="7" s="1"/>
  <c r="AI91" i="7"/>
  <c r="AL91" i="7" s="1"/>
  <c r="E91" i="7" s="1"/>
  <c r="G91" i="7" s="1"/>
  <c r="AJ93" i="7"/>
  <c r="AM93" i="7" s="1"/>
  <c r="J93" i="7" s="1"/>
  <c r="L93" i="7" s="1"/>
  <c r="AI36" i="7"/>
  <c r="AL36" i="7" s="1"/>
  <c r="E36" i="7" s="1"/>
  <c r="G36" i="7" s="1"/>
  <c r="AJ40" i="7"/>
  <c r="AM40" i="7" s="1"/>
  <c r="J40" i="7" s="1"/>
  <c r="L40" i="7" s="1"/>
  <c r="AI44" i="7"/>
  <c r="AL44" i="7" s="1"/>
  <c r="E44" i="7" s="1"/>
  <c r="G44" i="7" s="1"/>
  <c r="AJ48" i="7"/>
  <c r="AM48" i="7" s="1"/>
  <c r="J48" i="7" s="1"/>
  <c r="L48" i="7" s="1"/>
  <c r="AJ56" i="7"/>
  <c r="AM56" i="7" s="1"/>
  <c r="J56" i="7" s="1"/>
  <c r="L56" i="7" s="1"/>
  <c r="AI60" i="7"/>
  <c r="AL60" i="7" s="1"/>
  <c r="E60" i="7" s="1"/>
  <c r="G60" i="7" s="1"/>
  <c r="AJ64" i="7"/>
  <c r="AM64" i="7" s="1"/>
  <c r="J64" i="7" s="1"/>
  <c r="L64" i="7" s="1"/>
  <c r="AI72" i="7"/>
  <c r="AL72" i="7" s="1"/>
  <c r="E72" i="7" s="1"/>
  <c r="G72" i="7" s="1"/>
  <c r="AJ76" i="7"/>
  <c r="AM76" i="7" s="1"/>
  <c r="J76" i="7" s="1"/>
  <c r="L76" i="7" s="1"/>
  <c r="AJ80" i="7"/>
  <c r="AM80" i="7" s="1"/>
  <c r="J80" i="7" s="1"/>
  <c r="L80" i="7" s="1"/>
  <c r="AI33" i="7"/>
  <c r="AL33" i="7" s="1"/>
  <c r="E33" i="7" s="1"/>
  <c r="G33" i="7" s="1"/>
  <c r="AJ37" i="7"/>
  <c r="AM37" i="7" s="1"/>
  <c r="J37" i="7" s="1"/>
  <c r="L37" i="7" s="1"/>
  <c r="AI37" i="7"/>
  <c r="AL37" i="7" s="1"/>
  <c r="E37" i="7" s="1"/>
  <c r="G37" i="7" s="1"/>
  <c r="AI45" i="7"/>
  <c r="AL45" i="7" s="1"/>
  <c r="E45" i="7" s="1"/>
  <c r="G45" i="7" s="1"/>
  <c r="AJ65" i="7"/>
  <c r="AM65" i="7" s="1"/>
  <c r="J65" i="7" s="1"/>
  <c r="L65" i="7" s="1"/>
  <c r="AI73" i="7"/>
  <c r="AL73" i="7" s="1"/>
  <c r="E73" i="7" s="1"/>
  <c r="G73" i="7" s="1"/>
  <c r="AJ120" i="7"/>
  <c r="AM120" i="7" s="1"/>
  <c r="J120" i="7" s="1"/>
  <c r="L120" i="7" s="1"/>
  <c r="AI95" i="7"/>
  <c r="AL95" i="7" s="1"/>
  <c r="E95" i="7" s="1"/>
  <c r="G95" i="7" s="1"/>
  <c r="AJ114" i="7"/>
  <c r="AM114" i="7" s="1"/>
  <c r="J114" i="7" s="1"/>
  <c r="L114" i="7" s="1"/>
  <c r="AI118" i="7"/>
  <c r="AL118" i="7" s="1"/>
  <c r="E118" i="7" s="1"/>
  <c r="G118" i="7" s="1"/>
  <c r="AJ97" i="7"/>
  <c r="AM97" i="7" s="1"/>
  <c r="J97" i="7" s="1"/>
  <c r="L97" i="7" s="1"/>
  <c r="AI97" i="7"/>
  <c r="AL97" i="7" s="1"/>
  <c r="E97" i="7" s="1"/>
  <c r="G97" i="7" s="1"/>
  <c r="AI101" i="7"/>
  <c r="AL101" i="7" s="1"/>
  <c r="E101" i="7" s="1"/>
  <c r="G101" i="7" s="1"/>
  <c r="AJ105" i="7"/>
  <c r="AM105" i="7" s="1"/>
  <c r="J105" i="7" s="1"/>
  <c r="L105" i="7" s="1"/>
  <c r="AJ88" i="7"/>
  <c r="AM88" i="7" s="1"/>
  <c r="J88" i="7" s="1"/>
  <c r="L88" i="7" s="1"/>
  <c r="AJ46" i="7"/>
  <c r="AM46" i="7" s="1"/>
  <c r="J46" i="7" s="1"/>
  <c r="L46" i="7" s="1"/>
  <c r="AJ78" i="7"/>
  <c r="AM78" i="7" s="1"/>
  <c r="J78" i="7" s="1"/>
  <c r="L78" i="7" s="1"/>
  <c r="AI116" i="7"/>
  <c r="AL116" i="7" s="1"/>
  <c r="E116" i="7" s="1"/>
  <c r="G116" i="7" s="1"/>
  <c r="AJ96" i="7"/>
  <c r="AM96" i="7" s="1"/>
  <c r="J96" i="7" s="1"/>
  <c r="L96" i="7" s="1"/>
  <c r="AJ53" i="7"/>
  <c r="AM53" i="7" s="1"/>
  <c r="J53" i="7" s="1"/>
  <c r="L53" i="7" s="1"/>
  <c r="AJ61" i="7"/>
  <c r="AM61" i="7" s="1"/>
  <c r="J61" i="7" s="1"/>
  <c r="L61" i="7" s="1"/>
  <c r="AI69" i="7"/>
  <c r="AL69" i="7" s="1"/>
  <c r="E69" i="7" s="1"/>
  <c r="G69" i="7" s="1"/>
  <c r="AI77" i="7"/>
  <c r="AL77" i="7" s="1"/>
  <c r="E77" i="7" s="1"/>
  <c r="G77" i="7" s="1"/>
  <c r="AI54" i="7"/>
  <c r="AL54" i="7" s="1"/>
  <c r="E54" i="7" s="1"/>
  <c r="G54" i="7" s="1"/>
  <c r="AJ111" i="7"/>
  <c r="AM111" i="7" s="1"/>
  <c r="J111" i="7" s="1"/>
  <c r="L111" i="7" s="1"/>
  <c r="AI99" i="7"/>
  <c r="AL99" i="7" s="1"/>
  <c r="E99" i="7" s="1"/>
  <c r="G99" i="7" s="1"/>
  <c r="AI103" i="7"/>
  <c r="AL103" i="7" s="1"/>
  <c r="E103" i="7" s="1"/>
  <c r="G103" i="7" s="1"/>
  <c r="AI86" i="7"/>
  <c r="AL86" i="7" s="1"/>
  <c r="E86" i="7" s="1"/>
  <c r="G86" i="7" s="1"/>
  <c r="AI92" i="7"/>
  <c r="AL92" i="7" s="1"/>
  <c r="E92" i="7" s="1"/>
  <c r="G92" i="7" s="1"/>
  <c r="AI34" i="7"/>
  <c r="AL34" i="7" s="1"/>
  <c r="E34" i="7" s="1"/>
  <c r="G34" i="7" s="1"/>
  <c r="AI38" i="7"/>
  <c r="AL38" i="7" s="1"/>
  <c r="E38" i="7" s="1"/>
  <c r="G38" i="7" s="1"/>
  <c r="AI42" i="7"/>
  <c r="AL42" i="7" s="1"/>
  <c r="E42" i="7" s="1"/>
  <c r="G42" i="7" s="1"/>
  <c r="AI62" i="7"/>
  <c r="AL62" i="7" s="1"/>
  <c r="E62" i="7" s="1"/>
  <c r="G62" i="7" s="1"/>
  <c r="AI70" i="7"/>
  <c r="AL70" i="7" s="1"/>
  <c r="E70" i="7" s="1"/>
  <c r="G70" i="7" s="1"/>
  <c r="AJ74" i="7"/>
  <c r="AM74" i="7" s="1"/>
  <c r="J74" i="7" s="1"/>
  <c r="L74" i="7" s="1"/>
  <c r="AJ72" i="7"/>
  <c r="AM72" i="7" s="1"/>
  <c r="J72" i="7" s="1"/>
  <c r="L72" i="7" s="1"/>
  <c r="AJ104" i="7"/>
  <c r="AM104" i="7" s="1"/>
  <c r="J104" i="7" s="1"/>
  <c r="L104" i="7" s="1"/>
  <c r="AI87" i="7"/>
  <c r="AL87" i="7" s="1"/>
  <c r="E87" i="7" s="1"/>
  <c r="G87" i="7" s="1"/>
  <c r="AI80" i="7"/>
  <c r="AL80" i="7" s="1"/>
  <c r="E80" i="7" s="1"/>
  <c r="G80" i="7" s="1"/>
  <c r="AI76" i="7"/>
  <c r="AL76" i="7" s="1"/>
  <c r="E76" i="7" s="1"/>
  <c r="G76" i="7" s="1"/>
  <c r="AJ119" i="7"/>
  <c r="AM119" i="7" s="1"/>
  <c r="J119" i="7" s="1"/>
  <c r="L119" i="7" s="1"/>
  <c r="AJ95" i="7"/>
  <c r="AM95" i="7" s="1"/>
  <c r="J95" i="7" s="1"/>
  <c r="L95" i="7" s="1"/>
  <c r="AI35" i="7"/>
  <c r="AL35" i="7" s="1"/>
  <c r="E35" i="7" s="1"/>
  <c r="G35" i="7" s="1"/>
  <c r="AI107" i="7"/>
  <c r="AL107" i="7" s="1"/>
  <c r="E107" i="7" s="1"/>
  <c r="G107" i="7" s="1"/>
  <c r="AI56" i="7"/>
  <c r="AL56" i="7" s="1"/>
  <c r="E56" i="7" s="1"/>
  <c r="G56" i="7" s="1"/>
  <c r="AJ38" i="7"/>
  <c r="AM38" i="7" s="1"/>
  <c r="J38" i="7" s="1"/>
  <c r="L38" i="7" s="1"/>
  <c r="AJ118" i="7"/>
  <c r="AM118" i="7" s="1"/>
  <c r="J118" i="7" s="1"/>
  <c r="L118" i="7" s="1"/>
  <c r="AJ67" i="7"/>
  <c r="AM67" i="7" s="1"/>
  <c r="J67" i="7" s="1"/>
  <c r="L67" i="7" s="1"/>
  <c r="AI49" i="7"/>
  <c r="AL49" i="7" s="1"/>
  <c r="E49" i="7" s="1"/>
  <c r="G49" i="7" s="1"/>
  <c r="AJ45" i="7"/>
  <c r="AM45" i="7" s="1"/>
  <c r="J45" i="7" s="1"/>
  <c r="L45" i="7" s="1"/>
  <c r="AI65" i="7"/>
  <c r="AL65" i="7" s="1"/>
  <c r="E65" i="7" s="1"/>
  <c r="G65" i="7" s="1"/>
  <c r="AI81" i="7"/>
  <c r="AL81" i="7" s="1"/>
  <c r="E81" i="7" s="1"/>
  <c r="G81" i="7" s="1"/>
  <c r="AJ113" i="7"/>
  <c r="AM113" i="7" s="1"/>
  <c r="J113" i="7" s="1"/>
  <c r="L113" i="7" s="1"/>
  <c r="AJ33" i="7"/>
  <c r="AM33" i="7" s="1"/>
  <c r="J33" i="7" s="1"/>
  <c r="L33" i="7" s="1"/>
  <c r="AJ106" i="7"/>
  <c r="AM106" i="7" s="1"/>
  <c r="J106" i="7" s="1"/>
  <c r="L106" i="7" s="1"/>
  <c r="AI110" i="7"/>
  <c r="AL110" i="7" s="1"/>
  <c r="E110" i="7" s="1"/>
  <c r="G110" i="7" s="1"/>
  <c r="AI98" i="7"/>
  <c r="AL98" i="7" s="1"/>
  <c r="E98" i="7" s="1"/>
  <c r="G98" i="7" s="1"/>
  <c r="AI114" i="7"/>
  <c r="AL114" i="7" s="1"/>
  <c r="E114" i="7" s="1"/>
  <c r="G114" i="7" s="1"/>
  <c r="AJ34" i="7"/>
  <c r="AM34" i="7" s="1"/>
  <c r="J34" i="7" s="1"/>
  <c r="L34" i="7" s="1"/>
  <c r="AJ66" i="7"/>
  <c r="AM66" i="7" s="1"/>
  <c r="J66" i="7" s="1"/>
  <c r="L66" i="7" s="1"/>
  <c r="AI50" i="7"/>
  <c r="AL50" i="7" s="1"/>
  <c r="E50" i="7" s="1"/>
  <c r="G50" i="7" s="1"/>
  <c r="AI66" i="7"/>
  <c r="AL66" i="7" s="1"/>
  <c r="E66" i="7" s="1"/>
  <c r="G66" i="7" s="1"/>
  <c r="AJ98" i="7"/>
  <c r="AM98" i="7" s="1"/>
  <c r="J98" i="7" s="1"/>
  <c r="L98" i="7" s="1"/>
  <c r="AJ44" i="7"/>
  <c r="AM44" i="7" s="1"/>
  <c r="J44" i="7" s="1"/>
  <c r="L44" i="7" s="1"/>
  <c r="AI43" i="7"/>
  <c r="AL43" i="7" s="1"/>
  <c r="E43" i="7" s="1"/>
  <c r="G43" i="7" s="1"/>
  <c r="AI48" i="7"/>
  <c r="AL48" i="7" s="1"/>
  <c r="E48" i="7" s="1"/>
  <c r="G48" i="7" s="1"/>
  <c r="AI88" i="7"/>
  <c r="AL88" i="7" s="1"/>
  <c r="E88" i="7" s="1"/>
  <c r="G88" i="7" s="1"/>
  <c r="AJ99" i="7"/>
  <c r="AM99" i="7" s="1"/>
  <c r="J99" i="7" s="1"/>
  <c r="L99" i="7" s="1"/>
  <c r="AJ54" i="7"/>
  <c r="AM54" i="7" s="1"/>
  <c r="J54" i="7" s="1"/>
  <c r="L54" i="7" s="1"/>
  <c r="AI79" i="7"/>
  <c r="AL79" i="7" s="1"/>
  <c r="E79" i="7" s="1"/>
  <c r="G79" i="7" s="1"/>
  <c r="AJ69" i="7"/>
  <c r="AM69" i="7" s="1"/>
  <c r="J69" i="7" s="1"/>
  <c r="L69" i="7" s="1"/>
  <c r="AJ85" i="7"/>
  <c r="AM85" i="7" s="1"/>
  <c r="J85" i="7" s="1"/>
  <c r="L85" i="7" s="1"/>
  <c r="AJ101" i="7"/>
  <c r="AM101" i="7" s="1"/>
  <c r="J101" i="7" s="1"/>
  <c r="L101" i="7" s="1"/>
  <c r="AI94" i="7"/>
  <c r="AL94" i="7" s="1"/>
  <c r="E94" i="7" s="1"/>
  <c r="G94" i="7" s="1"/>
  <c r="AI106" i="7"/>
  <c r="AL106" i="7" s="1"/>
  <c r="E106" i="7" s="1"/>
  <c r="G106" i="7" s="1"/>
  <c r="AJ42" i="7"/>
  <c r="AM42" i="7" s="1"/>
  <c r="J42" i="7" s="1"/>
  <c r="L42" i="7" s="1"/>
  <c r="AI46" i="7"/>
  <c r="AL46" i="7" s="1"/>
  <c r="E46" i="7" s="1"/>
  <c r="G46" i="7" s="1"/>
  <c r="AI58" i="7"/>
  <c r="AL58" i="7" s="1"/>
  <c r="E58" i="7" s="1"/>
  <c r="G58" i="7" s="1"/>
  <c r="AI74" i="7"/>
  <c r="AL74" i="7" s="1"/>
  <c r="E74" i="7" s="1"/>
  <c r="G74" i="7" s="1"/>
  <c r="AI78" i="7"/>
  <c r="AL78" i="7" s="1"/>
  <c r="E78" i="7" s="1"/>
  <c r="G78" i="7" s="1"/>
  <c r="AJ58" i="7"/>
  <c r="AM58" i="7" s="1"/>
  <c r="J58" i="7" s="1"/>
  <c r="L58" i="7" s="1"/>
  <c r="AI90" i="7"/>
  <c r="AL90" i="7" s="1"/>
  <c r="E90" i="7" s="1"/>
  <c r="G90" i="7" s="1"/>
  <c r="AJ60" i="7"/>
  <c r="AM60" i="7" s="1"/>
  <c r="J60" i="7" s="1"/>
  <c r="L60" i="7" s="1"/>
  <c r="AJ92" i="7"/>
  <c r="AM92" i="7" s="1"/>
  <c r="J92" i="7" s="1"/>
  <c r="L92" i="7" s="1"/>
  <c r="AJ112" i="7"/>
  <c r="AM112" i="7" s="1"/>
  <c r="J112" i="7" s="1"/>
  <c r="L112" i="7" s="1"/>
  <c r="AI59" i="7"/>
  <c r="AL59" i="7" s="1"/>
  <c r="E59" i="7" s="1"/>
  <c r="G59" i="7" s="1"/>
  <c r="AJ115" i="7"/>
  <c r="AM115" i="7" s="1"/>
  <c r="J115" i="7" s="1"/>
  <c r="L115" i="7" s="1"/>
  <c r="AJ86" i="7"/>
  <c r="AM86" i="7" s="1"/>
  <c r="J86" i="7" s="1"/>
  <c r="L86" i="7" s="1"/>
  <c r="AI105" i="7"/>
  <c r="AL105" i="7" s="1"/>
  <c r="E105" i="7" s="1"/>
  <c r="G105" i="7" s="1"/>
  <c r="AI82" i="7"/>
  <c r="AL82" i="7" s="1"/>
  <c r="E82" i="7" s="1"/>
  <c r="G82" i="7" s="1"/>
  <c r="AJ50" i="7"/>
  <c r="AM50" i="7" s="1"/>
  <c r="J50" i="7" s="1"/>
  <c r="L50" i="7" s="1"/>
  <c r="AJ90" i="7"/>
  <c r="AM90" i="7" s="1"/>
  <c r="J90" i="7" s="1"/>
  <c r="L90" i="7" s="1"/>
  <c r="AJ82" i="7"/>
  <c r="AM82" i="7" s="1"/>
  <c r="J82" i="7" s="1"/>
  <c r="L82" i="7" s="1"/>
  <c r="AI32" i="7"/>
  <c r="AL32" i="7" s="1"/>
  <c r="E32" i="7" s="1"/>
  <c r="G32" i="7" s="1"/>
  <c r="AJ32" i="7"/>
  <c r="AM32" i="7" s="1"/>
  <c r="J32" i="7" s="1"/>
  <c r="L32" i="7" s="1"/>
  <c r="B558" i="6" l="1"/>
  <c r="D557" i="6"/>
  <c r="L4" i="2"/>
  <c r="L8" i="2"/>
  <c r="L12" i="2"/>
  <c r="J15" i="2"/>
  <c r="L14" i="2"/>
  <c r="L13" i="2"/>
  <c r="L11" i="2"/>
  <c r="L10" i="2"/>
  <c r="L9" i="2"/>
  <c r="L7" i="2"/>
  <c r="L6" i="2"/>
  <c r="L5" i="2"/>
  <c r="L3" i="2"/>
  <c r="L2" i="2"/>
  <c r="D480" i="6"/>
  <c r="B559" i="6" l="1"/>
  <c r="D558" i="6"/>
  <c r="S8" i="2"/>
  <c r="R8" i="2"/>
  <c r="S7" i="2"/>
  <c r="R7" i="2"/>
  <c r="S6" i="2"/>
  <c r="R6" i="2"/>
  <c r="S5" i="2"/>
  <c r="R5" i="2"/>
  <c r="S4" i="2"/>
  <c r="R4" i="2"/>
  <c r="S3" i="2"/>
  <c r="R3" i="2"/>
  <c r="S2" i="2"/>
  <c r="R2" i="2"/>
  <c r="B560" i="6" l="1"/>
  <c r="D559" i="6"/>
  <c r="L15" i="2"/>
  <c r="K15" i="2"/>
  <c r="B561" i="6" l="1"/>
  <c r="D560" i="6"/>
  <c r="D482" i="6"/>
  <c r="H480" i="6"/>
  <c r="H482" i="6"/>
  <c r="I429" i="6"/>
  <c r="I431" i="6" s="1"/>
  <c r="B562" i="6" l="1"/>
  <c r="D561" i="6"/>
  <c r="I433" i="6"/>
  <c r="B563" i="6" l="1"/>
  <c r="D562" i="6"/>
  <c r="F530" i="6"/>
  <c r="F537" i="6" s="1"/>
  <c r="F544" i="6" s="1"/>
  <c r="I450" i="6"/>
  <c r="I438" i="6"/>
  <c r="I447" i="6"/>
  <c r="I444" i="6"/>
  <c r="I441" i="6"/>
  <c r="B564" i="6" l="1"/>
  <c r="D563" i="6"/>
  <c r="F545" i="6"/>
  <c r="G544" i="6"/>
  <c r="I544" i="6" s="1"/>
  <c r="J544" i="6" s="1"/>
  <c r="I453" i="6"/>
  <c r="B565" i="6" l="1"/>
  <c r="D564" i="6"/>
  <c r="F546" i="6"/>
  <c r="G545" i="6"/>
  <c r="I545" i="6" s="1"/>
  <c r="XBN464" i="6"/>
  <c r="I458" i="6"/>
  <c r="B566" i="6" l="1"/>
  <c r="D565" i="6"/>
  <c r="J545" i="6"/>
  <c r="F547" i="6"/>
  <c r="G546" i="6"/>
  <c r="I546" i="6" s="1"/>
  <c r="B567" i="6" l="1"/>
  <c r="D566" i="6"/>
  <c r="J546" i="6"/>
  <c r="F548" i="6"/>
  <c r="G547" i="6"/>
  <c r="I547" i="6" s="1"/>
  <c r="B568" i="6" l="1"/>
  <c r="D567" i="6"/>
  <c r="J547" i="6"/>
  <c r="F549" i="6"/>
  <c r="G548" i="6"/>
  <c r="I548" i="6" s="1"/>
  <c r="B569" i="6" l="1"/>
  <c r="D568" i="6"/>
  <c r="J548" i="6"/>
  <c r="F550" i="6"/>
  <c r="G549" i="6"/>
  <c r="I549" i="6" s="1"/>
  <c r="B570" i="6" l="1"/>
  <c r="D569" i="6"/>
  <c r="J549" i="6"/>
  <c r="F551" i="6"/>
  <c r="G550" i="6"/>
  <c r="I550" i="6" s="1"/>
  <c r="B571" i="6" l="1"/>
  <c r="D570" i="6"/>
  <c r="J550" i="6"/>
  <c r="F552" i="6"/>
  <c r="G551" i="6"/>
  <c r="I551" i="6" s="1"/>
  <c r="B572" i="6" l="1"/>
  <c r="D571" i="6"/>
  <c r="J551" i="6"/>
  <c r="F553" i="6"/>
  <c r="G552" i="6"/>
  <c r="I552" i="6" s="1"/>
  <c r="B573" i="6" l="1"/>
  <c r="D573" i="6" s="1"/>
  <c r="D572" i="6"/>
  <c r="J552" i="6"/>
  <c r="F554" i="6"/>
  <c r="G553" i="6"/>
  <c r="I553" i="6" s="1"/>
  <c r="J553" i="6" l="1"/>
  <c r="F555" i="6"/>
  <c r="G554" i="6"/>
  <c r="I554" i="6" s="1"/>
  <c r="J554" i="6" l="1"/>
  <c r="F556" i="6"/>
  <c r="G555" i="6"/>
  <c r="I555" i="6" s="1"/>
  <c r="J555" i="6" l="1"/>
  <c r="F557" i="6"/>
  <c r="G556" i="6"/>
  <c r="I556" i="6" s="1"/>
  <c r="J556" i="6" l="1"/>
  <c r="F558" i="6"/>
  <c r="G557" i="6"/>
  <c r="I557" i="6" s="1"/>
  <c r="J557" i="6" l="1"/>
  <c r="F559" i="6"/>
  <c r="G558" i="6"/>
  <c r="I558" i="6" s="1"/>
  <c r="J558" i="6" l="1"/>
  <c r="F560" i="6"/>
  <c r="G559" i="6"/>
  <c r="I559" i="6" s="1"/>
  <c r="J559" i="6" l="1"/>
  <c r="F561" i="6"/>
  <c r="G560" i="6"/>
  <c r="I560" i="6" s="1"/>
  <c r="J560" i="6" l="1"/>
  <c r="F562" i="6"/>
  <c r="G561" i="6"/>
  <c r="I561" i="6" s="1"/>
  <c r="J561" i="6" l="1"/>
  <c r="F563" i="6"/>
  <c r="G562" i="6"/>
  <c r="I562" i="6" s="1"/>
  <c r="J562" i="6" l="1"/>
  <c r="F564" i="6"/>
  <c r="G563" i="6"/>
  <c r="I563" i="6" s="1"/>
  <c r="J563" i="6" l="1"/>
  <c r="F565" i="6"/>
  <c r="G564" i="6"/>
  <c r="I564" i="6" s="1"/>
  <c r="J564" i="6" l="1"/>
  <c r="F566" i="6"/>
  <c r="G565" i="6"/>
  <c r="I565" i="6" s="1"/>
  <c r="J565" i="6" l="1"/>
  <c r="F567" i="6"/>
  <c r="G566" i="6"/>
  <c r="I566" i="6" s="1"/>
  <c r="J566" i="6" l="1"/>
  <c r="F568" i="6"/>
  <c r="G567" i="6"/>
  <c r="I567" i="6" s="1"/>
  <c r="J567" i="6" l="1"/>
  <c r="F569" i="6"/>
  <c r="G568" i="6"/>
  <c r="I568" i="6" s="1"/>
  <c r="J568" i="6" l="1"/>
  <c r="F570" i="6"/>
  <c r="G569" i="6"/>
  <c r="I569" i="6" s="1"/>
  <c r="J569" i="6" l="1"/>
  <c r="F571" i="6"/>
  <c r="G570" i="6"/>
  <c r="I570" i="6" s="1"/>
  <c r="J570" i="6" l="1"/>
  <c r="F572" i="6"/>
  <c r="G571" i="6"/>
  <c r="I571" i="6" s="1"/>
  <c r="J571" i="6" l="1"/>
  <c r="F573" i="6"/>
  <c r="G573" i="6" s="1"/>
  <c r="G572" i="6"/>
  <c r="I572" i="6" s="1"/>
  <c r="J572" i="6" l="1"/>
  <c r="I573" i="6"/>
  <c r="J573" i="6" s="1"/>
</calcChain>
</file>

<file path=xl/sharedStrings.xml><?xml version="1.0" encoding="utf-8"?>
<sst xmlns="http://schemas.openxmlformats.org/spreadsheetml/2006/main" count="1689" uniqueCount="920">
  <si>
    <t>Description of Services:</t>
  </si>
  <si>
    <t>We propose to provide the following services for the installation of a solar plant:</t>
  </si>
  <si>
    <t xml:space="preserve">Type of Solar Plant: </t>
  </si>
  <si>
    <t>A Billing of Quantities</t>
  </si>
  <si>
    <t>Sr No</t>
  </si>
  <si>
    <t>Item Name</t>
  </si>
  <si>
    <t>Make</t>
  </si>
  <si>
    <t>Description</t>
  </si>
  <si>
    <t>Unit</t>
  </si>
  <si>
    <t>Quantity</t>
  </si>
  <si>
    <t>Nos</t>
  </si>
  <si>
    <t>Meter</t>
  </si>
  <si>
    <t>Hi – Tech Solar Solution Scope</t>
  </si>
  <si>
    <t>Solar RoofTop System Pricing</t>
  </si>
  <si>
    <t>Amount</t>
  </si>
  <si>
    <t>Price / Unit</t>
  </si>
  <si>
    <t>Solar Power Generating System</t>
  </si>
  <si>
    <t>KW</t>
  </si>
  <si>
    <t>GEDA Registration Charges</t>
  </si>
  <si>
    <t>Banking Detail</t>
  </si>
  <si>
    <t>Required Documents</t>
  </si>
  <si>
    <t>Branch:</t>
  </si>
  <si>
    <t>IFSC Code:</t>
  </si>
  <si>
    <t>A/C Type:</t>
  </si>
  <si>
    <t>A/C Number:</t>
  </si>
  <si>
    <t>A/C Name:</t>
  </si>
  <si>
    <t>Bank Name:</t>
  </si>
  <si>
    <t>AU SMALL FINANCE BANK</t>
  </si>
  <si>
    <t>1107865152531445</t>
  </si>
  <si>
    <t>CURRENT ACCOUNT</t>
  </si>
  <si>
    <t>AUBL0002158</t>
  </si>
  <si>
    <t>DAHOD</t>
  </si>
  <si>
    <t>1) Latest Electricity Bill</t>
  </si>
  <si>
    <t>We will repair or, if found necessary replace a defective component of solar system for failure due to manufacturing defects &amp; The repaired/replaced part or Solar system does not carry a new warranty</t>
  </si>
  <si>
    <t>System generation &amp; Revenue Details</t>
  </si>
  <si>
    <t>Solar Roof Top Size:</t>
  </si>
  <si>
    <t>Yearly Saving :</t>
  </si>
  <si>
    <t>1st Year Generation :</t>
  </si>
  <si>
    <t>25 Year Saving :</t>
  </si>
  <si>
    <t>Note</t>
  </si>
  <si>
    <t>We agree to above details:</t>
  </si>
  <si>
    <t>Structure Hight</t>
  </si>
  <si>
    <t xml:space="preserve">Area </t>
  </si>
  <si>
    <t>Meter Phase</t>
  </si>
  <si>
    <t>Cost</t>
  </si>
  <si>
    <t>Module</t>
  </si>
  <si>
    <t>Month</t>
  </si>
  <si>
    <t>Unit/Day</t>
  </si>
  <si>
    <t>Kwh</t>
  </si>
  <si>
    <t>INR</t>
  </si>
  <si>
    <t xml:space="preserve">Module Wattage </t>
  </si>
  <si>
    <t>No Of Modules</t>
  </si>
  <si>
    <t>Capacity</t>
  </si>
  <si>
    <t>Module Cost</t>
  </si>
  <si>
    <t>Off Grid Inverter Price</t>
  </si>
  <si>
    <t>Hybrid Inverter Price</t>
  </si>
  <si>
    <t>1 - 3</t>
  </si>
  <si>
    <t>Urban</t>
  </si>
  <si>
    <t>Adani-530Wp(Bi-Facial)</t>
  </si>
  <si>
    <t>Jan</t>
  </si>
  <si>
    <t>Adani-540Wp(Bi-Facial)</t>
  </si>
  <si>
    <t>Rural</t>
  </si>
  <si>
    <t>Adani-535Wp(Bi-Facial)</t>
  </si>
  <si>
    <t>Fab</t>
  </si>
  <si>
    <t>Kwp</t>
  </si>
  <si>
    <t>Adani-570Wp(Bi-Facial)</t>
  </si>
  <si>
    <t>March</t>
  </si>
  <si>
    <t>Kw</t>
  </si>
  <si>
    <t>April</t>
  </si>
  <si>
    <t>May</t>
  </si>
  <si>
    <t>Feet</t>
  </si>
  <si>
    <t>Jun</t>
  </si>
  <si>
    <t>Degree</t>
  </si>
  <si>
    <t>July</t>
  </si>
  <si>
    <t>Aug</t>
  </si>
  <si>
    <t>Sep</t>
  </si>
  <si>
    <t>Oct</t>
  </si>
  <si>
    <t>Nov</t>
  </si>
  <si>
    <t>Dec</t>
  </si>
  <si>
    <t>4-6</t>
  </si>
  <si>
    <t>6-8</t>
  </si>
  <si>
    <t>8-10</t>
  </si>
  <si>
    <t>10-12</t>
  </si>
  <si>
    <t>12-14</t>
  </si>
  <si>
    <t>DISCOM</t>
  </si>
  <si>
    <t>MGVCL</t>
  </si>
  <si>
    <t>UGVCL</t>
  </si>
  <si>
    <t>PGVCL</t>
  </si>
  <si>
    <t>DGVCL</t>
  </si>
  <si>
    <t>TORRENT</t>
  </si>
  <si>
    <t>ON GRID</t>
  </si>
  <si>
    <t>OFF GRID</t>
  </si>
  <si>
    <t>HYBRID</t>
  </si>
  <si>
    <t>GST</t>
  </si>
  <si>
    <t>RATE W/O GST</t>
  </si>
  <si>
    <t>Total</t>
  </si>
  <si>
    <t>-</t>
  </si>
  <si>
    <t>Rupees</t>
  </si>
  <si>
    <t>Generation / Day :</t>
  </si>
  <si>
    <t>Inverter</t>
  </si>
  <si>
    <t>ACDB</t>
  </si>
  <si>
    <t>DCDB</t>
  </si>
  <si>
    <t>Earthing Kit</t>
  </si>
  <si>
    <t>570wp Topcon (Bi-Facial)</t>
  </si>
  <si>
    <t>2)Ownership proof</t>
  </si>
  <si>
    <t>MP Board</t>
  </si>
  <si>
    <t>Sungrow</t>
  </si>
  <si>
    <t>ITEM NAME</t>
  </si>
  <si>
    <t>Count</t>
  </si>
  <si>
    <t>GST%</t>
  </si>
  <si>
    <t>NET AMOUNT</t>
  </si>
  <si>
    <t>Base Plate</t>
  </si>
  <si>
    <t>Ancore Fastner</t>
  </si>
  <si>
    <t>J Bolt</t>
  </si>
  <si>
    <t>AC Wire</t>
  </si>
  <si>
    <t>DC Wire</t>
  </si>
  <si>
    <t>Eaething Wire</t>
  </si>
  <si>
    <t>L.A Wire</t>
  </si>
  <si>
    <t>Lighting Arrestor</t>
  </si>
  <si>
    <t>PVC Pipe</t>
  </si>
  <si>
    <t>MC4 Connector</t>
  </si>
  <si>
    <t>Isolation</t>
  </si>
  <si>
    <t>Transport</t>
  </si>
  <si>
    <t>Installation Charges</t>
  </si>
  <si>
    <t>Other Miss.Item</t>
  </si>
  <si>
    <t>Commissioning Charges</t>
  </si>
  <si>
    <t>Structure = 60 x 40</t>
  </si>
  <si>
    <t>Structure = 40 x 40</t>
  </si>
  <si>
    <t>UNIT</t>
  </si>
  <si>
    <t>RS/WATT</t>
  </si>
  <si>
    <t>RS/KG</t>
  </si>
  <si>
    <t>RS/NOS</t>
  </si>
  <si>
    <t>RS/MTR</t>
  </si>
  <si>
    <t>KG</t>
  </si>
  <si>
    <t>Foundation Work</t>
  </si>
  <si>
    <t>inverter</t>
  </si>
  <si>
    <t>18 - 20</t>
  </si>
  <si>
    <t>VIKRAM</t>
  </si>
  <si>
    <t>540Wp Bi-Facial</t>
  </si>
  <si>
    <t>RATE WITH GST</t>
  </si>
  <si>
    <t>7) Undertaking on 300Rs stamp Paper</t>
  </si>
  <si>
    <t>HI - TECH SOLAR SOLUTION</t>
  </si>
  <si>
    <t>545 Wp Bi-Facial</t>
  </si>
  <si>
    <t>kw AC O/P Inverter</t>
  </si>
  <si>
    <t>walk way</t>
  </si>
  <si>
    <t>rs/mtr</t>
  </si>
  <si>
    <t>Rs/Kw</t>
  </si>
  <si>
    <t>IFP Charges</t>
  </si>
  <si>
    <t>RS/KW</t>
  </si>
  <si>
    <t>4) Pan  Card &amp; Cancelled Cheque of firm</t>
  </si>
  <si>
    <t>3) Aadhar &amp; Pan Card of Authorised Person</t>
  </si>
  <si>
    <t>5) Passport size photo of Authorised Person</t>
  </si>
  <si>
    <t>6) GST Certificate</t>
  </si>
  <si>
    <t>Solar Plant Installation : Procedure &amp; Time frame</t>
  </si>
  <si>
    <t>Procedure</t>
  </si>
  <si>
    <t>Steps</t>
  </si>
  <si>
    <t>Time Period (Approx)</t>
  </si>
  <si>
    <t>Step-1</t>
  </si>
  <si>
    <t>GEDA Registration</t>
  </si>
  <si>
    <t>Step-2</t>
  </si>
  <si>
    <t>Step-3</t>
  </si>
  <si>
    <t>Step-4</t>
  </si>
  <si>
    <t>Step-5</t>
  </si>
  <si>
    <t>Step-6</t>
  </si>
  <si>
    <t>1-2
working Days</t>
  </si>
  <si>
    <t>4-5
Working days</t>
  </si>
  <si>
    <t>Document Verification</t>
  </si>
  <si>
    <t>Feasibility Approval</t>
  </si>
  <si>
    <t>DISCOM will Give Feasibility Approval &amp; issue Estimate of solar Meter after Document verification</t>
  </si>
  <si>
    <t>After Getting all Approvals we will start plant execution work</t>
  </si>
  <si>
    <t>15 - 20
Working days</t>
  </si>
  <si>
    <t>Execution Work</t>
  </si>
  <si>
    <t>Step-7</t>
  </si>
  <si>
    <t>Net Metering Process</t>
  </si>
  <si>
    <t>30 - 45
Working days</t>
  </si>
  <si>
    <t>Step-8</t>
  </si>
  <si>
    <t>Step-9</t>
  </si>
  <si>
    <t>Verification of uploaded documents after registration</t>
  </si>
  <si>
    <t>In this step HTSS will make an Electrical drawing and upload on IFP Portal For further installation process.</t>
  </si>
  <si>
    <t xml:space="preserve">Commissioning &amp; Testing </t>
  </si>
  <si>
    <t>After Installation and CEIG approval Testing procedure will be done by HTSS</t>
  </si>
  <si>
    <t>Completion of project</t>
  </si>
  <si>
    <t>After testing, HTSS will handover the plant to the client</t>
  </si>
  <si>
    <t>Stage 1: Booking Amount</t>
  </si>
  <si>
    <t>Stage 2: Approval Process</t>
  </si>
  <si>
    <t>Stage 3: Installation</t>
  </si>
  <si>
    <t>Stage 4: Testing &amp; Inspection</t>
  </si>
  <si>
    <t>Stage 5: Project Handover</t>
  </si>
  <si>
    <t>At the time of order confirmation.</t>
  </si>
  <si>
    <t>After GEDA registration and feasibility approval.</t>
  </si>
  <si>
    <t>After delivery of materials and start of installation work.</t>
  </si>
  <si>
    <t>After successful installation and CEIG inspection approval.</t>
  </si>
  <si>
    <t>On successful commissioning and handover of the solar plant.</t>
  </si>
  <si>
    <t>Ensures order confirmation and documentation.</t>
  </si>
  <si>
    <t>For procurement of materials and labor costs.</t>
  </si>
  <si>
    <t>Do not Covers registration and initial processing fees.</t>
  </si>
  <si>
    <t>Covers inspection, testing, and net metering processes.</t>
  </si>
  <si>
    <t>Final settlement after completion of the project.</t>
  </si>
  <si>
    <t>Payment Stages</t>
  </si>
  <si>
    <t>Milestone</t>
  </si>
  <si>
    <t>Percentage of System installation Cost</t>
  </si>
  <si>
    <t>Remarks</t>
  </si>
  <si>
    <t>Grand Total</t>
  </si>
  <si>
    <r>
      <t xml:space="preserve">IFP Drawing Approval
</t>
    </r>
    <r>
      <rPr>
        <u/>
        <sz val="8"/>
        <color theme="1"/>
        <rFont val="Times New Roman"/>
        <family val="1"/>
      </rPr>
      <t xml:space="preserve">Applicable for above 10kw </t>
    </r>
  </si>
  <si>
    <r>
      <t xml:space="preserve">CEIG Inspection Approval
</t>
    </r>
    <r>
      <rPr>
        <u/>
        <sz val="8"/>
        <color theme="1"/>
        <rFont val="Times New Roman"/>
        <family val="1"/>
      </rPr>
      <t>Applicable for above 10kw</t>
    </r>
    <r>
      <rPr>
        <u/>
        <sz val="9"/>
        <color theme="1"/>
        <rFont val="Times New Roman"/>
        <family val="1"/>
      </rPr>
      <t xml:space="preserve"> </t>
    </r>
  </si>
  <si>
    <t>Solar System &amp; installation cost</t>
  </si>
  <si>
    <t xml:space="preserve">   Sqft Minimum</t>
  </si>
  <si>
    <t>600wp Topcon (Bi-Facial)</t>
  </si>
  <si>
    <t>SR NO</t>
  </si>
  <si>
    <t>NO OF MODULE</t>
  </si>
  <si>
    <t>TOTAL</t>
  </si>
  <si>
    <t>INVERTER</t>
  </si>
  <si>
    <t>STRUCTURE</t>
  </si>
  <si>
    <t>BASE PLATE</t>
  </si>
  <si>
    <t>ANCORE FASTNER</t>
  </si>
  <si>
    <t>J BOULT</t>
  </si>
  <si>
    <t>LA</t>
  </si>
  <si>
    <t>AC CABLE</t>
  </si>
  <si>
    <t>DC CABLE</t>
  </si>
  <si>
    <t>LA CABLE</t>
  </si>
  <si>
    <t>PVC PIPE</t>
  </si>
  <si>
    <t>MC4 CONNECTOR</t>
  </si>
  <si>
    <t>EARTHING ROAD KIT</t>
  </si>
  <si>
    <t>ISOLATOR</t>
  </si>
  <si>
    <t>WALK WAY</t>
  </si>
  <si>
    <t>FOUNDATION</t>
  </si>
  <si>
    <t>IFP CHARGES</t>
  </si>
  <si>
    <t>INSTALLATION CHARGES</t>
  </si>
  <si>
    <t>OTHER MISS ITEM</t>
  </si>
  <si>
    <t>COMMISSIONING CHARGES</t>
  </si>
  <si>
    <t>MODULE WATTAGE
BI FACIAL</t>
  </si>
  <si>
    <t>DC CAPACITY
BI FACIAL</t>
  </si>
  <si>
    <t>MODULE WATTAGE
TOPCON</t>
  </si>
  <si>
    <t>DC CAPACITY
TOPCON</t>
  </si>
  <si>
    <t>DISCOVER RATE
BI FACIAL</t>
  </si>
  <si>
    <t>DISCOVER RATE
TOPCON</t>
  </si>
  <si>
    <t>MODULE
BI FACIAL</t>
  </si>
  <si>
    <t>MODULE
TOPCON</t>
  </si>
  <si>
    <t>Module BI FACIAL</t>
  </si>
  <si>
    <t>Module TOPCON</t>
  </si>
  <si>
    <t>RATE</t>
  </si>
  <si>
    <t>RS/SQR MTR</t>
  </si>
  <si>
    <t>TOAL
BI FACIAL</t>
  </si>
  <si>
    <t>TOTAL
TOPCON</t>
  </si>
  <si>
    <t>FINAL RATE
BI FACIAL</t>
  </si>
  <si>
    <t>FINAL RATE
TOPCON</t>
  </si>
  <si>
    <t>Plant cabaling</t>
  </si>
  <si>
    <t>RS/Kw</t>
  </si>
  <si>
    <t>125 kw</t>
  </si>
  <si>
    <t>100 kw</t>
  </si>
  <si>
    <t>75 kw</t>
  </si>
  <si>
    <t>Rate</t>
  </si>
  <si>
    <t>Avg</t>
  </si>
  <si>
    <t>595 Wp Topcon Bi-Facial</t>
  </si>
  <si>
    <t>NOT MENTIONED</t>
  </si>
  <si>
    <t>CABLE TRAY</t>
  </si>
  <si>
    <t>HINDUSTAR</t>
  </si>
  <si>
    <t>KG/METER</t>
  </si>
  <si>
    <t>10- 15
Working days</t>
  </si>
  <si>
    <t>Work Item / Activity</t>
  </si>
  <si>
    <t>Responsibility</t>
  </si>
  <si>
    <t>Project Development &amp; Engineering</t>
  </si>
  <si>
    <t>Feasibility Study (technical &amp; financial)</t>
  </si>
  <si>
    <t>Consumer</t>
  </si>
  <si>
    <t>Can be jointly discussed with EPC.</t>
  </si>
  <si>
    <t>Site Survey &amp; Assessment</t>
  </si>
  <si>
    <t>EPC Contractor</t>
  </si>
  <si>
    <t>Includes structural and electrical feasibility.</t>
  </si>
  <si>
    <t>System Design &amp; Engineering Drawings</t>
  </si>
  <si>
    <t>Electrical SLD, layout, shadow analysis, etc.</t>
  </si>
  <si>
    <t>Statutory and Safety Compliance (design level)</t>
  </si>
  <si>
    <t>Must follow MNRE, DISCOM, CEIG norms.</t>
  </si>
  <si>
    <t>Procurement &amp; Supply</t>
  </si>
  <si>
    <t>Procurement of Solar Modules (approved make)</t>
  </si>
  <si>
    <t>Must meet MNRE ALMM list and BIS norms.</t>
  </si>
  <si>
    <t>Procurement of Inverters</t>
  </si>
  <si>
    <t>Must meet DISCOM &amp; MNRE specs.</t>
  </si>
  <si>
    <t>Procurement of Mounting Structures</t>
  </si>
  <si>
    <t>Corrosion-resistant (hot dip galvanized).</t>
  </si>
  <si>
    <t>Cables, Junction Boxes, Earthing Material</t>
  </si>
  <si>
    <t>IS-compliant cables and materials.</t>
  </si>
  <si>
    <t>Transportation to Site</t>
  </si>
  <si>
    <t>Delivered to consumer site.</t>
  </si>
  <si>
    <t>Installation &amp; Construction</t>
  </si>
  <si>
    <t>Module Mounting Structure Installation</t>
  </si>
  <si>
    <t>Based on roof type (RCC, sheet metal, etc.).</t>
  </si>
  <si>
    <t>Module Installation</t>
  </si>
  <si>
    <t>Including alignment and clamping.</t>
  </si>
  <si>
    <t>Inverter &amp; Electrical Panel Installation</t>
  </si>
  <si>
    <t>Includes ACDB, DCDB, SPD, meters, etc.</t>
  </si>
  <si>
    <t>Earthing, Lightning Protection System</t>
  </si>
  <si>
    <t>Minimum 2 earth pits per inverter.</t>
  </si>
  <si>
    <t>Cable Laying and Termination</t>
  </si>
  <si>
    <t>As per standard cable routing practices.</t>
  </si>
  <si>
    <t>Civil Works (if required)</t>
  </si>
  <si>
    <t>Pedestals, cable trenching (if needed).</t>
  </si>
  <si>
    <t>Grid Connection &amp; Net Metering</t>
  </si>
  <si>
    <t>Liaisoning with DISCOM for Grid Approval</t>
  </si>
  <si>
    <t>EPC Contractor (mostly)</t>
  </si>
  <si>
    <t>Consumer may assist in document signatures.</t>
  </si>
  <si>
    <t>Application for Net Metering</t>
  </si>
  <si>
    <t>EPC Contractor (with Consumer)</t>
  </si>
  <si>
    <t>Consumer’s documents like PAN, Aadhaar needed.</t>
  </si>
  <si>
    <t>Installation of Net Meter</t>
  </si>
  <si>
    <t>DISCOM (coordinated by EPC)</t>
  </si>
  <si>
    <t>EPC will ensure DISCOM visit and coordination.</t>
  </si>
  <si>
    <t>CEIG Approval (if required)</t>
  </si>
  <si>
    <t>Required for capacity &gt;10kW in Gujarat.</t>
  </si>
  <si>
    <t>Testing &amp; Commissioning</t>
  </si>
  <si>
    <t>System Testing (insulation, polarity, continuity, etc.)</t>
  </si>
  <si>
    <t>Complete testing prior to energization.</t>
  </si>
  <si>
    <t>Synchronization with Grid</t>
  </si>
  <si>
    <t>In coordination with DISCOM.</t>
  </si>
  <si>
    <t>Final Commissioning</t>
  </si>
  <si>
    <t>Post-approval and net meter installation.</t>
  </si>
  <si>
    <t>Documentation &amp; Handover</t>
  </si>
  <si>
    <t>Submission of Final Drawings &amp; Technical Documents</t>
  </si>
  <si>
    <t>Includes SLDs, datasheets, manuals.</t>
  </si>
  <si>
    <t>Warranty Certificates</t>
  </si>
  <si>
    <t>For modules, inverters, BOS items.</t>
  </si>
  <si>
    <t>O&amp;M Manual &amp; Training to Consumer Staff</t>
  </si>
  <si>
    <t>Brief on periodic maintenance &amp; troubleshooting.</t>
  </si>
  <si>
    <t>Operation &amp; Maintenance</t>
  </si>
  <si>
    <t>Optional extension through AMC.</t>
  </si>
  <si>
    <t>Performance Monitoring System</t>
  </si>
  <si>
    <t>Remote monitoring (Wi-Fi/GPRS) for real-time data.</t>
  </si>
  <si>
    <t>Commercial Aspects</t>
  </si>
  <si>
    <t>Project Financing</t>
  </si>
  <si>
    <t>Unless provided by EPC under RESCO/lease.</t>
  </si>
  <si>
    <t>Insurance of Plant (during &amp; post-installation)</t>
  </si>
  <si>
    <t>Payment Terms</t>
  </si>
  <si>
    <t>As per contract milestones.</t>
  </si>
  <si>
    <t>All AC Cables above 16 mm2: 1.1KV Al conductor (Class-2), GS
Armoured, XLPE Insulation, PVC outer sheath Cable.</t>
  </si>
  <si>
    <t>ACDB to Client LT Panel (AC Cabling)</t>
  </si>
  <si>
    <t>Client LT Panel to Client HT Panel (AC Cabling)</t>
  </si>
  <si>
    <t>N/A</t>
  </si>
  <si>
    <t>Cable Tray/ Conduits with
supporting structures</t>
  </si>
  <si>
    <t>Conduits have been considered for DC/AC cable Routing</t>
  </si>
  <si>
    <t>HT Panel</t>
  </si>
  <si>
    <t>Step-Up Transf. &amp;
Accessories</t>
  </si>
  <si>
    <t>Evacuation considered at LT Panel of same building
@415V</t>
  </si>
  <si>
    <t>Module Cleaning System</t>
  </si>
  <si>
    <t xml:space="preserve">Consumer </t>
  </si>
  <si>
    <t>Hand Rail</t>
  </si>
  <si>
    <t>Handrail/Parapet Walls on RCC Roofs in Customer Scope.</t>
  </si>
  <si>
    <t>Staircase/Monkey Ladder</t>
  </si>
  <si>
    <t>Site Access (Staircase) in Customer Scope</t>
  </si>
  <si>
    <t>PV-DG Controller</t>
  </si>
  <si>
    <t>Not Considered in any form ie. RPR/ Fuel Saver PLC Based PVDG
Controller, etc.</t>
  </si>
  <si>
    <t>Land Levelling and
Grading/Tree Cutting</t>
  </si>
  <si>
    <t>In Consumer Scope</t>
  </si>
  <si>
    <t>Cable Trenches</t>
  </si>
  <si>
    <t>Control Rooms (RCC/PEB)</t>
  </si>
  <si>
    <t>Water Drainage</t>
  </si>
  <si>
    <t>Existing Trenches considered</t>
  </si>
  <si>
    <t>Existing Covered Space in Control Room considered</t>
  </si>
  <si>
    <t>In Customer Scope. Existing Drainage Considered</t>
  </si>
  <si>
    <t>Water and Electricity</t>
  </si>
  <si>
    <t>Supply of Free Water and Free Electricity in Customer Scope
during I&amp;C and O&amp;M (If Appl.)</t>
  </si>
  <si>
    <t>Consumer with EPC Contractor</t>
  </si>
  <si>
    <t>Scope of Work Matrix:  Rooftop Solar Power Plant</t>
  </si>
  <si>
    <t>O&amp;M Responsibility (5 year free O&amp;M typically)</t>
  </si>
  <si>
    <t>in consumer scope</t>
  </si>
  <si>
    <t>Supply of Free Water and Free Electricity in Customer Scope. during I&amp;C and O&amp;M (If Appl.)</t>
  </si>
  <si>
    <t>All AC Cables above 16 mm2: 1.1KV Al conductor (Class-2), GS Armoured, XLPE Insulation, PVC outer sheath Cable.</t>
  </si>
  <si>
    <t>Evacuation considered at LT Panel of same building @415V</t>
  </si>
  <si>
    <t>Not Considered in any form ie. RPR/ Fuel Saver PLC Based PVDG Controller, etc.</t>
  </si>
  <si>
    <t>GI</t>
  </si>
  <si>
    <t>MODULE MOUNTING STRUCTURE</t>
  </si>
  <si>
    <t>MAIN AC DISTRIBUTION BOX</t>
  </si>
  <si>
    <t>DC DISTRIBUTION BOX</t>
  </si>
  <si>
    <t>ESE LIGHTING ARRESTOR</t>
  </si>
  <si>
    <t>EARTHING CABLE / STRIP</t>
  </si>
  <si>
    <t>EARTHING BOARING CHARGES</t>
  </si>
  <si>
    <t>rs/nOs</t>
  </si>
  <si>
    <r>
      <t xml:space="preserve">Solar Net Metering Fees </t>
    </r>
    <r>
      <rPr>
        <b/>
        <sz val="11"/>
        <color rgb="FFFF0000"/>
        <rFont val="Times New Roman"/>
        <family val="1"/>
      </rPr>
      <t xml:space="preserve"> (Approx Calculation)</t>
    </r>
  </si>
  <si>
    <t>Procurement of Bi-directional meter, Modem And Meter Box</t>
  </si>
  <si>
    <t>Consumer (With EPC Contractor)</t>
  </si>
  <si>
    <t>Only Applicable In HT Consumers.</t>
  </si>
  <si>
    <t>LT Consumet</t>
  </si>
  <si>
    <t>HT Consumer</t>
  </si>
  <si>
    <r>
      <t xml:space="preserve">Here's a </t>
    </r>
    <r>
      <rPr>
        <b/>
        <sz val="11"/>
        <color theme="1"/>
        <rFont val="Calibri"/>
        <family val="2"/>
        <scheme val="minor"/>
      </rPr>
      <t>detailed and professional "Industrial HT Consumer Solar Quotation Format"</t>
    </r>
    <r>
      <rPr>
        <sz val="11"/>
        <color theme="1"/>
        <rFont val="Calibri"/>
        <family val="2"/>
        <scheme val="minor"/>
      </rPr>
      <t xml:space="preserve"> tailored specifically for </t>
    </r>
    <r>
      <rPr>
        <b/>
        <sz val="11"/>
        <color theme="1"/>
        <rFont val="Calibri"/>
        <family val="2"/>
        <scheme val="minor"/>
      </rPr>
      <t>High Tension (HT) consumers</t>
    </r>
    <r>
      <rPr>
        <sz val="11"/>
        <color theme="1"/>
        <rFont val="Calibri"/>
        <family val="2"/>
        <scheme val="minor"/>
      </rPr>
      <t>, such as large industries, factories, or commercial units in India. This format is designed for EPC contractors offering grid-connected solar power systems, especially for capacities above 100 kW.</t>
    </r>
  </si>
  <si>
    <t>🔷 INDUSTRIAL HT CONSUMER SOLAR QUOTATION FORMAT</t>
  </si>
  <si>
    <t>📌 1. Cover Page</t>
  </si>
  <si>
    <t>Company Name &amp; Logo</t>
  </si>
  <si>
    <t>Client Name / Company Name</t>
  </si>
  <si>
    <r>
      <t>Quotation Title</t>
    </r>
    <r>
      <rPr>
        <sz val="11"/>
        <color theme="1"/>
        <rFont val="Calibri"/>
        <family val="2"/>
        <scheme val="minor"/>
      </rPr>
      <t xml:space="preserve">: </t>
    </r>
    <r>
      <rPr>
        <i/>
        <sz val="11"/>
        <color theme="1"/>
        <rFont val="Calibri"/>
        <family val="2"/>
        <scheme val="minor"/>
      </rPr>
      <t>"Proposal for Grid-Connected Solar PV System – HT Consumer"</t>
    </r>
  </si>
  <si>
    <t>Quotation Reference No.</t>
  </si>
  <si>
    <t>Date of Issue</t>
  </si>
  <si>
    <t>Prepared by</t>
  </si>
  <si>
    <t>Prepared for</t>
  </si>
  <si>
    <t>Valid Till Date</t>
  </si>
  <si>
    <t>📌 2. Index</t>
  </si>
  <si>
    <t>1. Executive Summary</t>
  </si>
  <si>
    <t>2. Site Details</t>
  </si>
  <si>
    <t>3. Technical Proposal</t>
  </si>
  <si>
    <t>4. Financial Proposal</t>
  </si>
  <si>
    <t>5. Net Metering &amp; DISCOM Charges</t>
  </si>
  <si>
    <t>6. Commercial Terms &amp; Conditions</t>
  </si>
  <si>
    <t>7. Warranty &amp; AMC Details</t>
  </si>
  <si>
    <t>8. Project Timeline</t>
  </si>
  <si>
    <t>9. Required Approvals &amp; Documentation</t>
  </si>
  <si>
    <t>10. Bank Details</t>
  </si>
  <si>
    <t>11. Annexures (Layouts, Datasheets, Certificates)</t>
  </si>
  <si>
    <t>📌 3. Executive Summary</t>
  </si>
  <si>
    <t>System Size (kW or MW)</t>
  </si>
  <si>
    <t>Estimated Energy Generation (per year)</t>
  </si>
  <si>
    <t>Expected Savings</t>
  </si>
  <si>
    <t>Payback Period</t>
  </si>
  <si>
    <t>CO₂ Emissions Saved</t>
  </si>
  <si>
    <t>Summary of Cost</t>
  </si>
  <si>
    <t>📌 4. Site Details</t>
  </si>
  <si>
    <t>Client Address</t>
  </si>
  <si>
    <t>Type of Premises (Industrial HT Consumer)</t>
  </si>
  <si>
    <t>DISCOM Name</t>
  </si>
  <si>
    <t>Sanctioned Load</t>
  </si>
  <si>
    <t>Contract Demand</t>
  </si>
  <si>
    <t>HT Meter Details (33kV/11kV etc.)</t>
  </si>
  <si>
    <t>📌 5. Technical Proposal</t>
  </si>
  <si>
    <t>Proposed Capacity (kWp)</t>
  </si>
  <si>
    <t>Module Brand, Technology &amp; Warranty</t>
  </si>
  <si>
    <t>Inverter Make, Rating &amp; Warranty</t>
  </si>
  <si>
    <t>Mounting Structure (Type, Material)</t>
  </si>
  <si>
    <t>SCADA / Remote Monitoring System</t>
  </si>
  <si>
    <t>LT/HT Panel Specifications</t>
  </si>
  <si>
    <t>Earthing &amp; Lightning Protection</t>
  </si>
  <si>
    <t>Civil Works Details</t>
  </si>
  <si>
    <t>📌 6. Financial Proposal</t>
  </si>
  <si>
    <t>Details</t>
  </si>
  <si>
    <t>System Capacity (kW)</t>
  </si>
  <si>
    <t>Price per kW (₹)</t>
  </si>
  <si>
    <t>Total System Cost (₹)</t>
  </si>
  <si>
    <t>GST % &amp; Amount (₹)</t>
  </si>
  <si>
    <t>Gross Total (₹)</t>
  </si>
  <si>
    <t>Subsidy (if applicable)</t>
  </si>
  <si>
    <t>Net Payable Amount (₹)</t>
  </si>
  <si>
    <t>📌 7. Net Metering &amp; DISCOM Charges</t>
  </si>
  <si>
    <t>Approximate Application &amp; Processing Charges</t>
  </si>
  <si>
    <t>Feasibility Report Charges</t>
  </si>
  <si>
    <t>HT Meter CT/PT Replacement (if applicable)</t>
  </si>
  <si>
    <t>Net Metering Cost Estimates</t>
  </si>
  <si>
    <t>DISCOM Approval Support Included: Yes/No</t>
  </si>
  <si>
    <t>📌 8. Commercial Terms &amp; Conditions</t>
  </si>
  <si>
    <t>Term</t>
  </si>
  <si>
    <t>Delivery Time</t>
  </si>
  <si>
    <t>e.g., 10–12 weeks from PO</t>
  </si>
  <si>
    <t>e.g., 30% Advance, 60% on Delivery, 10% on Commissioning</t>
  </si>
  <si>
    <t>Validity of Quotation</t>
  </si>
  <si>
    <t>e.g., 30 Days</t>
  </si>
  <si>
    <t>Installation &amp; Commissioning</t>
  </si>
  <si>
    <t>Included / Excluded</t>
  </si>
  <si>
    <t>Insurance During Project</t>
  </si>
  <si>
    <t>Included / By Client</t>
  </si>
  <si>
    <t>Performance Guarantee</t>
  </si>
  <si>
    <t>e.g., 80% PR for 25 years</t>
  </si>
  <si>
    <t>AMC After Warranty</t>
  </si>
  <si>
    <t>Optional – ₹/Year</t>
  </si>
  <si>
    <t>📌 9. Warranty &amp; AMC</t>
  </si>
  <si>
    <t>Module Warranty: 25 Years (Performance)</t>
  </si>
  <si>
    <t>Inverter Warranty: 5–10 Years</t>
  </si>
  <si>
    <t>Workmanship Warranty: 1 Year</t>
  </si>
  <si>
    <t>Optional AMC Plans with Pricing</t>
  </si>
  <si>
    <t>📌 10. Project Timeline</t>
  </si>
  <si>
    <t>Duration</t>
  </si>
  <si>
    <t>Engineering &amp; Design</t>
  </si>
  <si>
    <t>1 Week</t>
  </si>
  <si>
    <t>Procurement</t>
  </si>
  <si>
    <t>3–4 Weeks</t>
  </si>
  <si>
    <t>Installation &amp; Testing</t>
  </si>
  <si>
    <t>2–3 Weeks</t>
  </si>
  <si>
    <t>Net Metering &amp; Synchronization</t>
  </si>
  <si>
    <t>2–4 Weeks</t>
  </si>
  <si>
    <t>📌 11. Required Approvals &amp; Documentation</t>
  </si>
  <si>
    <t>CEIG Approval (if &gt;10kW or HT)</t>
  </si>
  <si>
    <t>Net Metering Approval</t>
  </si>
  <si>
    <t>Single Line Diagram (SLD)</t>
  </si>
  <si>
    <t>Load Flow Study Report</t>
  </si>
  <si>
    <t>Safety Certificate</t>
  </si>
  <si>
    <t>Work Completion Certificate</t>
  </si>
  <si>
    <t>📌 12. Bank Details</t>
  </si>
  <si>
    <t>(For Advance Payment)</t>
  </si>
  <si>
    <t>Bank Name</t>
  </si>
  <si>
    <t>Account Name</t>
  </si>
  <si>
    <t>Account Number</t>
  </si>
  <si>
    <t>IFSC Code</t>
  </si>
  <si>
    <t>Branch</t>
  </si>
  <si>
    <t>📌 13. Annexures</t>
  </si>
  <si>
    <t>System Layout Diagram</t>
  </si>
  <si>
    <t>Electrical SLD</t>
  </si>
  <si>
    <t>Product Datasheets (Modules, Inverters, etc.)</t>
  </si>
  <si>
    <t>Certificates (MNRE, BIS, IEC)</t>
  </si>
  <si>
    <t>Past Project References</t>
  </si>
  <si>
    <r>
      <t xml:space="preserve">Would you like a downloadable </t>
    </r>
    <r>
      <rPr>
        <b/>
        <sz val="11"/>
        <color theme="1"/>
        <rFont val="Calibri"/>
        <family val="2"/>
        <scheme val="minor"/>
      </rPr>
      <t>Word or Excel template</t>
    </r>
    <r>
      <rPr>
        <sz val="11"/>
        <color theme="1"/>
        <rFont val="Calibri"/>
        <family val="2"/>
        <scheme val="minor"/>
      </rPr>
      <t xml:space="preserve"> for this format? Or a </t>
    </r>
    <r>
      <rPr>
        <b/>
        <sz val="11"/>
        <color theme="1"/>
        <rFont val="Calibri"/>
        <family val="2"/>
        <scheme val="minor"/>
      </rPr>
      <t>customized quotation PDF</t>
    </r>
    <r>
      <rPr>
        <sz val="11"/>
        <color theme="1"/>
        <rFont val="Calibri"/>
        <family val="2"/>
        <scheme val="minor"/>
      </rPr>
      <t xml:space="preserve"> with your company details and logo?</t>
    </r>
  </si>
  <si>
    <r>
      <rPr>
        <b/>
        <sz val="36"/>
        <color theme="8"/>
        <rFont val="Bookman Old Style"/>
        <family val="1"/>
      </rPr>
      <t>HI - TECH</t>
    </r>
    <r>
      <rPr>
        <b/>
        <sz val="36"/>
        <color theme="1"/>
        <rFont val="Bookman Old Style"/>
        <family val="1"/>
      </rPr>
      <t xml:space="preserve">
</t>
    </r>
    <r>
      <rPr>
        <b/>
        <sz val="36"/>
        <color theme="5"/>
        <rFont val="Bookman Old Style"/>
        <family val="1"/>
      </rPr>
      <t>SOLAR SOLUTION</t>
    </r>
    <r>
      <rPr>
        <b/>
        <sz val="36"/>
        <color theme="1"/>
        <rFont val="Bookman Old Style"/>
        <family val="1"/>
      </rPr>
      <t xml:space="preserve">
</t>
    </r>
    <r>
      <rPr>
        <b/>
        <sz val="16"/>
        <color theme="1"/>
        <rFont val="Book Antiqua"/>
        <family val="1"/>
      </rPr>
      <t>Solutions You Can Trust.</t>
    </r>
  </si>
  <si>
    <t>Date of Issue :</t>
  </si>
  <si>
    <t>Prepared by :</t>
  </si>
  <si>
    <t>Prepared for :</t>
  </si>
  <si>
    <t>Valid Till Date :</t>
  </si>
  <si>
    <t>Client Name :</t>
  </si>
  <si>
    <t>Detailed Techno-Commercial Proposal</t>
  </si>
  <si>
    <t>Mr. Ilyas Kaydawala</t>
  </si>
  <si>
    <t>Mr. Ammar Kotawala</t>
  </si>
  <si>
    <t>HTSS Contact Person Name &amp; Contact Numbers</t>
  </si>
  <si>
    <t>Mob: +91-8140535380, Email : hitechsolarsolu@gmail.com</t>
  </si>
  <si>
    <t>Customer Contact Person :</t>
  </si>
  <si>
    <t>Kwp Roof top Solar System</t>
  </si>
  <si>
    <t>Er. Ilyas Kaydawala</t>
  </si>
  <si>
    <t>Type of Consumer:</t>
  </si>
  <si>
    <t>Consumer Number :</t>
  </si>
  <si>
    <t>Executive Summary:</t>
  </si>
  <si>
    <t>We are pleased to present our proposal for the installation of a solar power plant at your facility. This project is designed to help your organization reduce electricity costs, lower carbon emissions, and move towards long-term energy sustainability.
Our comprehensive solution covers all aspects of the project—from design and procurement to installation, commissioning, and post-installation support. By partnering with us, you gain access to industry-leading technology, quality workmanship, and professional project management.
The solar power system will be installed as per applicable regulations and safety standards, and is structured to operate efficiently over its entire lifecycle. Our team ensures seamless coordination with local authorities and utility providers to facilitate net metering and necessary approvals.
This proposal outlines the commercial terms, implementation plan, warranty coverage, and after-sales support details. It reflects our commitment to delivering reliable, cost-effective, and environmentally responsible energy solutions tailored to your business needs.
We look forward to working with you and contributing to your sustainability goals.</t>
  </si>
  <si>
    <t>Technical Proposal :</t>
  </si>
  <si>
    <t>System Size</t>
  </si>
  <si>
    <t>System Type</t>
  </si>
  <si>
    <t>On Grid</t>
  </si>
  <si>
    <t>Required Area</t>
  </si>
  <si>
    <t>Type of Solar Module</t>
  </si>
  <si>
    <t>Mono Bi - Facial</t>
  </si>
  <si>
    <t>Topcon Bi - Facial</t>
  </si>
  <si>
    <t>Type Of Module Mounting Structure</t>
  </si>
  <si>
    <t>Elevated Structure</t>
  </si>
  <si>
    <t>Mono Rail</t>
  </si>
  <si>
    <t>Structure Hight (If Elevated Structure)</t>
  </si>
  <si>
    <t>Type of ACDB Box</t>
  </si>
  <si>
    <t>Type of DCDB Box</t>
  </si>
  <si>
    <t>Type of Earthing Road</t>
  </si>
  <si>
    <t>Earthing</t>
  </si>
  <si>
    <t>G.I EARTHING ELECTRODE (PIPE IN PIPE)</t>
  </si>
  <si>
    <t>G.I EARTHING ELECTRODE (PIPE IN STRIP)</t>
  </si>
  <si>
    <t>COPPER BONDED EARTHING ELECTRODE (PIPE IN STRIP)</t>
  </si>
  <si>
    <t>PURE COPPER EARTHING ELECTRODE (PIPE IN STRIP)</t>
  </si>
  <si>
    <t>COPPER BONDED SOLID ELECTRODE</t>
  </si>
  <si>
    <t>Conventional Lightning Arrestor</t>
  </si>
  <si>
    <t>ESE Lightning Arrestor</t>
  </si>
  <si>
    <t>Type of Lightning Arrestor</t>
  </si>
  <si>
    <t>BI - FACIAL PV MODULE</t>
  </si>
  <si>
    <t>TOPCON BI - FACIAL PV MODULE</t>
  </si>
  <si>
    <t>WP</t>
  </si>
  <si>
    <t>Module Type</t>
  </si>
  <si>
    <t>Module Make &amp; Rating</t>
  </si>
  <si>
    <t>Module Efficiency</t>
  </si>
  <si>
    <t>Inverter Type</t>
  </si>
  <si>
    <t>Inverter Make &amp; Rating</t>
  </si>
  <si>
    <t>Array Layout</t>
  </si>
  <si>
    <t>Monitoring System</t>
  </si>
  <si>
    <t>Remote Monitoring System (Wi-Fi/GPRS), Web &amp; Mobile Interface</t>
  </si>
  <si>
    <t>Net Metering Provision</t>
  </si>
  <si>
    <t>System compatible and provision for Net Metering as per DISCOM norms</t>
  </si>
  <si>
    <t>Parameter</t>
  </si>
  <si>
    <t>Inverter Warranty Coverage</t>
  </si>
  <si>
    <t>Approvals &amp; Compliance</t>
  </si>
  <si>
    <t>MNRE, DISCOM, CEIG, IEC/BIS Standards</t>
  </si>
  <si>
    <t>Project Completion Timeline</t>
  </si>
  <si>
    <t>Expected Generation(Unit/Day)</t>
  </si>
  <si>
    <t xml:space="preserve"> - MCB+MCCB+CONTACTOR+NVR+SPP+SPD+MMF METER</t>
  </si>
  <si>
    <t xml:space="preserve"> - MCB+MCCB+CONTACTOR+SPD</t>
  </si>
  <si>
    <t xml:space="preserve"> - MCB+MCCB+CONTACTOR+SPD+NVR</t>
  </si>
  <si>
    <t xml:space="preserve"> - MCB+MCCB+CONTACTOR+SPD+NVR+SPP</t>
  </si>
  <si>
    <t>ACDB - MCB+MCCB+CONTACTOR+NVR+SPP+SPD+MMF METER</t>
  </si>
  <si>
    <t>ACDB - MCB+MCCB+CONTACTOR+SPD</t>
  </si>
  <si>
    <t>ACDB - MCB+MCCB+CONTACTOR+SPD+NVR</t>
  </si>
  <si>
    <t>ACDB - MCB+MCCB+CONTACTOR+SPD+NVR+SPP</t>
  </si>
  <si>
    <t xml:space="preserve"> - Fuse +SPD</t>
  </si>
  <si>
    <t xml:space="preserve"> - DC MCB + SPD</t>
  </si>
  <si>
    <t xml:space="preserve"> - Fuse + MCB + SPD</t>
  </si>
  <si>
    <t xml:space="preserve"> - only Fuse Box</t>
  </si>
  <si>
    <t>DCDB - Fuse +SPD</t>
  </si>
  <si>
    <t>DCDB - DC MCB + SPD</t>
  </si>
  <si>
    <t>DCDB - Fuse + MCB + SPD</t>
  </si>
  <si>
    <t>DCDB - only Fuse Box</t>
  </si>
  <si>
    <t>INV - SG3.0RS</t>
  </si>
  <si>
    <t>INV - SG3.6RS</t>
  </si>
  <si>
    <t>INV - SG4.0RS</t>
  </si>
  <si>
    <t>INV - SG5.0RS</t>
  </si>
  <si>
    <t>INV - SG6.0RS</t>
  </si>
  <si>
    <t>INV - SG5.0RT</t>
  </si>
  <si>
    <t>INV - SG6.0RT</t>
  </si>
  <si>
    <t>INV - SG8.0RT</t>
  </si>
  <si>
    <t>INV - SG12RT</t>
  </si>
  <si>
    <t>INV - SG15RT</t>
  </si>
  <si>
    <t>INV - SG20RT</t>
  </si>
  <si>
    <t>INV - SG33CX</t>
  </si>
  <si>
    <t>INV - SG50CX-P2</t>
  </si>
  <si>
    <t>INV - SG125CX-P2</t>
  </si>
  <si>
    <t xml:space="preserve">ERTH  - </t>
  </si>
  <si>
    <t>ERTH  - G.I EARTHING ELECTRODE (PIPE IN PIPE)</t>
  </si>
  <si>
    <t>ERTH  - PURE COPPER EARTHING ELECTRODE (PIPE IN STRIP)</t>
  </si>
  <si>
    <t>ERTH  - COPPER BONDED SOLID ELECTRODE</t>
  </si>
  <si>
    <t>STR - MONO RAIL</t>
  </si>
  <si>
    <t>STR - ELEVATED AL.MONO RAIL</t>
  </si>
  <si>
    <t>INV - SG75CX-P2</t>
  </si>
  <si>
    <t>INV - SG100CX-P2</t>
  </si>
  <si>
    <t>J BOULT - 40X40</t>
  </si>
  <si>
    <t>J BOULT - 60X40</t>
  </si>
  <si>
    <t xml:space="preserve">WEDGE ANCORE BOULT </t>
  </si>
  <si>
    <t>MTR</t>
  </si>
  <si>
    <t>NOS</t>
  </si>
  <si>
    <t>AC 3.5 C X 35 SQMM AL.ARM CABLE</t>
  </si>
  <si>
    <t>AC 3.5 C X 50 SQMM AL.ARM CABLE</t>
  </si>
  <si>
    <t>AC 3.5 C X 70 SQMM AL.ARM CABLE</t>
  </si>
  <si>
    <t>AC 3.5 C X 95 SQMM AL.ARM CABLE</t>
  </si>
  <si>
    <t>AC 3.5 C X 120 SQMM AL.ARM CABLE</t>
  </si>
  <si>
    <t>AC 3.5 C X 150 SQMM AL.ARM CABLE</t>
  </si>
  <si>
    <t>AC 3.5 C X 185 SQMM AL.ARM CABLE</t>
  </si>
  <si>
    <t>AC 3.5 C X 240 SQMM AL.ARM CABLE</t>
  </si>
  <si>
    <t>AC 3.5 C X 300 SQMM AL.ARM CABLE</t>
  </si>
  <si>
    <t>AC 4 C X 16 SQMM AL.ARM CABLE</t>
  </si>
  <si>
    <t>AC 4 C X 25 SQMM AL.ARM CABLE</t>
  </si>
  <si>
    <t>ERTH 1 C X 2.5 SQMM CU CABLE</t>
  </si>
  <si>
    <t>ERTH 1 C X 4.0 SQMM CU CABLE</t>
  </si>
  <si>
    <t>ERTH 1 C X 6.0 SQMM CU CABLE</t>
  </si>
  <si>
    <t>ERTH 1 C X 10 SQMM CU CABLE</t>
  </si>
  <si>
    <t>ERTH 1 C X 16 SQMM ALM.FLEX CABLE</t>
  </si>
  <si>
    <t>ERTH GI STRIP</t>
  </si>
  <si>
    <t>wp</t>
  </si>
  <si>
    <t>ERTH  - 50 MM X 3 MTR G.I EARTHING ELECTRODE (PIPE IN STRIP) - MID</t>
  </si>
  <si>
    <t>ERTH  - 50 MM X 3 MTR G.I EARTHING ELECTRODE (PIPE IN STRIP) - LIGHT</t>
  </si>
  <si>
    <t>ERTH  - 50 MM X 3 MTR G.I EARTHING ELECTRODE (PIPE IN STRIP) - HEAVY</t>
  </si>
  <si>
    <t>ERTH  - 76 MM X 3 MTR G.I EARTHING ELECTRODE (PIPE IN STRIP) - MID</t>
  </si>
  <si>
    <t>ERTH  - 76 MM X 3 MTR G.I EARTHING ELECTRODE (PIPE IN STRIP) - LIGHT</t>
  </si>
  <si>
    <t>ERTH  - 76 MM X 3 MTR G.I EARTHING ELECTRODE (PIPE IN STRIP) - HEAVY</t>
  </si>
  <si>
    <t>ERTH  - 50 MM X 3 MTR COPPER BONDED EARTHING ELECTRODE (PIPE IN STRIP) - LIGHT</t>
  </si>
  <si>
    <t>ERTH  - 50 MM X 3 MTR COPPER BONDED EARTHING ELECTRODE (PIPE IN STRIP) - MID</t>
  </si>
  <si>
    <t>ERTH  - 50 MM X 3 MTR COPPER BONDED EARTHING ELECTRODE (PIPE IN STRIP) - HEAVY</t>
  </si>
  <si>
    <t>ERTH  - 76 MM X 3 MTR COPPER BONDED EARTHING ELECTRODE (PIPE IN STRIP) - MID</t>
  </si>
  <si>
    <t>ERTH  - 76 MM X 3 MTR COPPER BONDED EARTHING ELECTRODE (PIPE IN STRIP) - LIGHT</t>
  </si>
  <si>
    <t>ERTH  - 76 MM X 3 MTR COPPER BONDED EARTHING ELECTRODE (PIPE IN STRIP) - HEAVY</t>
  </si>
  <si>
    <t>ESE KALRE ALR 01</t>
  </si>
  <si>
    <t>ESE KALRE ALR 04</t>
  </si>
  <si>
    <t>ESE KALRE STRONG 60</t>
  </si>
  <si>
    <t>LA POLE 5 MTR</t>
  </si>
  <si>
    <t>LA POLE 3 MTR</t>
  </si>
  <si>
    <t>ERTH 1 C X 16 SQMM CU.FLEX CABLE</t>
  </si>
  <si>
    <t>INV - SG10RT</t>
  </si>
  <si>
    <r>
      <rPr>
        <b/>
        <sz val="10.75"/>
        <color theme="1"/>
        <rFont val="Times New Roman"/>
        <family val="1"/>
      </rPr>
      <t>Engineering</t>
    </r>
    <r>
      <rPr>
        <sz val="10.75"/>
        <color theme="1"/>
        <rFont val="Times New Roman"/>
        <family val="1"/>
      </rPr>
      <t xml:space="preserve">
Detailed site survey and feasibility analysis. &amp; Design of the solar power plant, including electrical and structural engineering.
</t>
    </r>
    <r>
      <rPr>
        <b/>
        <sz val="10.75"/>
        <color theme="1"/>
        <rFont val="Times New Roman"/>
        <family val="1"/>
      </rPr>
      <t>Procurement</t>
    </r>
    <r>
      <rPr>
        <sz val="10.75"/>
        <color theme="1"/>
        <rFont val="Times New Roman"/>
        <family val="1"/>
      </rPr>
      <t xml:space="preserve">
Procurement of all necessary components and materials, including: Solar PV modules, Inverters (string or central), Mounting structures, Cables, connectors, and junction boxes, switchgear, and protection systems
All components shall comply with applicable quality standards (e.g., BIS, IEC).
</t>
    </r>
    <r>
      <rPr>
        <b/>
        <sz val="10.75"/>
        <color theme="1"/>
        <rFont val="Times New Roman"/>
        <family val="1"/>
      </rPr>
      <t>Construction &amp; Installation</t>
    </r>
    <r>
      <rPr>
        <sz val="10.75"/>
        <color theme="1"/>
        <rFont val="Times New Roman"/>
        <family val="1"/>
      </rPr>
      <t xml:space="preserve">
Civil and structural works, including foundations and mounting systems, Mechanical installation of modules and mounting structures, Electrical installation, including cabling, inverter integration, earthing, and lightning protection &amp; Synchronization with the grid as per DISCOM/CEIG guidelines.
</t>
    </r>
    <r>
      <rPr>
        <b/>
        <sz val="10.75"/>
        <color theme="1"/>
        <rFont val="Times New Roman"/>
        <family val="1"/>
      </rPr>
      <t>Testing &amp; Commissioning</t>
    </r>
    <r>
      <rPr>
        <sz val="10.75"/>
        <color theme="1"/>
        <rFont val="Times New Roman"/>
        <family val="1"/>
      </rPr>
      <t xml:space="preserve">
Pre-commissioning checks and testing of all systems, System energization and performance testing, Grid synchronization and approvals from relevant authorities &amp; Preparation and submission of commissioning reports.
</t>
    </r>
    <r>
      <rPr>
        <b/>
        <sz val="10.75"/>
        <color theme="1"/>
        <rFont val="Times New Roman"/>
        <family val="1"/>
      </rPr>
      <t xml:space="preserve">
Testing and Commissioning: </t>
    </r>
    <r>
      <rPr>
        <sz val="10.75"/>
        <color theme="1"/>
        <rFont val="Times New Roman"/>
        <family val="1"/>
      </rPr>
      <t xml:space="preserve">
We will conduct rigorous testing procedures to ensure the proper functioning of the solar plant before commissioning it for regular operation.
</t>
    </r>
    <r>
      <rPr>
        <b/>
        <sz val="10.75"/>
        <color theme="1"/>
        <rFont val="Times New Roman"/>
        <family val="1"/>
      </rPr>
      <t xml:space="preserve">Training and Support: </t>
    </r>
    <r>
      <rPr>
        <sz val="10.75"/>
        <color theme="1"/>
        <rFont val="Times New Roman"/>
        <family val="1"/>
      </rPr>
      <t xml:space="preserve">
We will provide training sessions for your staff on the operation and maintenance of the solar plant. &amp;Additionally, we offer ongoing technical support and maintenance services.
</t>
    </r>
    <r>
      <rPr>
        <b/>
        <sz val="10.75"/>
        <color theme="1"/>
        <rFont val="Times New Roman"/>
        <family val="1"/>
      </rPr>
      <t>Documentation &amp; Approvals</t>
    </r>
    <r>
      <rPr>
        <sz val="10.75"/>
        <color theme="1"/>
        <rFont val="Times New Roman"/>
        <family val="1"/>
      </rPr>
      <t xml:space="preserve">
Assistance in obtaining necessary statutory approvals (e.g., CEIG, DISCOM, net metering). Preparation of As-Built drawings and final project reports &amp; Warranty certificates, performance guarantees, and handover documents.</t>
    </r>
  </si>
  <si>
    <t>Product Warranty</t>
  </si>
  <si>
    <t>Linear Power Warranty for 30 years with 2% for 1st year degradation and 0.5% from year 2 to
year 30</t>
  </si>
  <si>
    <t>SOLAR MODULE</t>
  </si>
  <si>
    <t>As Per Required</t>
  </si>
  <si>
    <t>The procedure and timeframe mentioned above are approximate and may vary depending on various factors such as weather conditions, document processing delays, payments delay and approvals from concerned authorities. These timelines are provided as a general guideline and are not fixed.</t>
  </si>
  <si>
    <t>Technical Considerations – Hi-Tech Solar Solution</t>
  </si>
  <si>
    <t>At Hi-Tech Solar Solution, we bring tailored engineering insight and practical foresight into every solar installation. For this proposal, we’ve crafted the following project assumptions and guidelines to ensure seamless delivery, performance, and compliance.</t>
  </si>
  <si>
    <t>System Design Overview</t>
  </si>
  <si>
    <t xml:space="preserve"> Installation &amp; Materials Approach</t>
  </si>
  <si>
    <t>Infrastructure &amp; Site Readiness</t>
  </si>
  <si>
    <t>Execution Terms</t>
  </si>
  <si>
    <t>Commissioning &amp; Performance Definitions</t>
  </si>
  <si>
    <t>• Commissioning refers to the date the system begins delivering power at the defined delivery point.
• In some cases, where mechanical installation is completed but final commissioning is delayed due to customer-side infrastructure, it will be considered as “Deemed Commissioning.”
• The Delivery Point for energy transfer is defined as the ACDB of the solar plant, which is connected to the customer’s LT electrical panel.</t>
  </si>
  <si>
    <t>What’s Not Included</t>
  </si>
  <si>
    <t>• Permanent rooftop access (e.g., lifts, fixed ladders, etc.)
• Operation &amp; Maintenance (O&amp;M) services
• Network devices or IT infrastructure
• Free provision of electricity or water during installation
• Water supply at 6-bar pressure for module cleaning on rooftops
• Spare panels or enclosures at the LT side for power evacuation
• Assurance of rooftop strength—customer must verify that:
  - GI sheets support 20–25 kg/m²
  - RCC slabs support 60–65 kg/m²</t>
  </si>
  <si>
    <t>• Hi-Tech Solar Solution will supply appropriate switchgear and protection devices; however, the customer is expected to provide feeder panels or enclosures required to house these elements at their LT side.
• Any alteration in technical specifications or layout requested after the bid phase (or during site assessment) will be evaluated for commercial impact and may affect the total cost.
• The design includes AC cabling up to the inverter ACDB. Cable lengths beyond BOQ meters (from ACDB to LT panel) will incur additional charges based on the extra meterage.
• For efficient execution, the customer must ensure clear and safe access to the installation location. This includes providing ladders, scaffoldings, and any required paths for movement of materials and personnel.</t>
  </si>
  <si>
    <t>• This is a turnkey project. All unused or surplus materials post-commissioning shall be returned to Hi-Tech Solar Solution.
• Regulatory approvals like CEIG and Net Metering (in accordance with the state's current regulations) fall within our scope. If additional permissions are needed, they’ll be handled based on agreed terms.
• While Hi-Tech Solar solution will pursue approvals diligently, we are not responsible for delays caused by government bodies or utilities. Any such delays do not constitute grounds for penalties or payment withholding.
• The customer is expected to support the approval process by providing required documents—such as existing CEIG-approved drawings and utility NOCs.
• Any statutory fees, hardware upgrades, or extra charges mandated by DISCOM or authorities will be borne by the customer.</t>
  </si>
  <si>
    <t>• All components will adhere to Hi-Tech Solar Solution’s approved brand list. However, in rare cases of non-availability, equivalent alternatives of matching quality may be considered, subject to mutual agreement.
• The installation area must remain completely shadow-free throughout the day. Customers are requested to ensure any nearby obstructions—such as trees or structures—are cleared before execution and remain so during the lifespan of the project.
• No interference (like chemical discharge, obstruction of light, or overheating of the site) should occur that could hinder solar performance. The system relies on consistent, unshaded solar exposure to meet expected generation benchmarks.</t>
  </si>
  <si>
    <t>• The proposed solar PV system aligned with prevailing state net metering policies. The final rating may be fine-tuned during the detailed design phase. Any change in site conditions or reduction in total capacity (beyond 5%) may result in a project cost revision.
• Power generated will be evacuated at 415V through the LT panel of the same building, ensuring localized integration and minimal loss.
• Module tilts are assumed at 10°, or as per the natural slope of the mounting surface, optimizing seasonal sun tracking.</t>
  </si>
  <si>
    <t>FRP</t>
  </si>
  <si>
    <r>
      <t xml:space="preserve">Generation Meter, Modem,CT &amp; Meter Box Charges </t>
    </r>
    <r>
      <rPr>
        <b/>
        <sz val="11"/>
        <color rgb="FFFF0000"/>
        <rFont val="Times New Roman"/>
        <family val="1"/>
      </rPr>
      <t>(Approx Calculation)</t>
    </r>
  </si>
  <si>
    <t>Fire &amp; Safety</t>
  </si>
  <si>
    <t>Fire Extinguisher &amp; Sign Bord Marking</t>
  </si>
  <si>
    <t>Transportation</t>
  </si>
  <si>
    <t>Include in EPC Contractor Scope.</t>
  </si>
  <si>
    <t>Data sheet Attached</t>
  </si>
  <si>
    <t>From reputed Manufacturer</t>
  </si>
  <si>
    <t>Plant capacity may vary due to Solar Panel Size Availability. Final billing amount vary accordingly.</t>
  </si>
  <si>
    <t>Predicted Monthly Generation</t>
  </si>
  <si>
    <t>Predicted Monthly Savings</t>
  </si>
  <si>
    <t>Predicted Generation is Indicative only. It may vary depending upon weather condition &amp; Module Condition. Savings Calculated @ INR 8/Unit</t>
  </si>
  <si>
    <t xml:space="preserve">Start Registration process By Collecting Required Documents </t>
  </si>
  <si>
    <t>After Completing the Installation Process We will Apply for CEIG Inspection,CEIG inspector will physically come on site and verify all the parameters.</t>
  </si>
  <si>
    <t>8) Authorisation letter</t>
  </si>
  <si>
    <t>TERMS AND CONDITIONS</t>
  </si>
  <si>
    <t>Hi-Tech Solar Solution</t>
  </si>
  <si>
    <t>Upon verification of a valid warranty claim,Hi-Tech Solar Solution will repair or replace the defective components within a reasonable time frame.
If repair or replacement is not feasible, Hi-Tech Solar Solution reserves the right to provide an alternative solution</t>
  </si>
  <si>
    <t>INSTALLATION &amp; COMMISSIONING</t>
  </si>
  <si>
    <t>Once we get CEIG Approval, we will prepare a file for net metering process and submit it to DISCOM for meter installation process</t>
  </si>
  <si>
    <r>
      <rPr>
        <b/>
        <u/>
        <sz val="11"/>
        <color theme="1"/>
        <rFont val="Times New Roman"/>
        <family val="1"/>
      </rPr>
      <t>Warranty:</t>
    </r>
    <r>
      <rPr>
        <sz val="11"/>
        <color theme="1"/>
        <rFont val="Times New Roman"/>
        <family val="1"/>
      </rPr>
      <t xml:space="preserve">
Hi-Tech Solar Solution warrants the installation workmanship for a period of 5 Years from the date of commissioning.
Solar panels,Inverter,MCB,Fuse &amp; cartridges and other equipment are subject to manufacturer warranties, details of which will be provided upon installation.</t>
    </r>
  </si>
  <si>
    <r>
      <rPr>
        <b/>
        <u/>
        <sz val="11"/>
        <color theme="1"/>
        <rFont val="Times New Roman"/>
        <family val="1"/>
      </rPr>
      <t>Maintenance and Service:</t>
    </r>
    <r>
      <rPr>
        <sz val="11"/>
        <color theme="1"/>
        <rFont val="Times New Roman"/>
        <family val="1"/>
      </rPr>
      <t xml:space="preserve">
Hi-Tech Solar Solution offers optional maintenance and service plans beyond the warranty period. Details of these plans can be provided upon request.</t>
    </r>
  </si>
  <si>
    <r>
      <rPr>
        <b/>
        <u/>
        <sz val="11"/>
        <color theme="1"/>
        <rFont val="Times New Roman"/>
        <family val="1"/>
      </rPr>
      <t>Site Access:</t>
    </r>
    <r>
      <rPr>
        <sz val="11"/>
        <color theme="1"/>
        <rFont val="Times New Roman"/>
        <family val="1"/>
      </rPr>
      <t xml:space="preserve">
The client shall provide unimpeded access to the installation site during agreed-upon times for the duration of the project.</t>
    </r>
  </si>
  <si>
    <r>
      <rPr>
        <b/>
        <u/>
        <sz val="11"/>
        <color theme="1"/>
        <rFont val="Times New Roman"/>
        <family val="1"/>
      </rPr>
      <t>Permits and Approvals:</t>
    </r>
    <r>
      <rPr>
        <sz val="11"/>
        <color theme="1"/>
        <rFont val="Times New Roman"/>
        <family val="1"/>
      </rPr>
      <t xml:space="preserve">
It is the responsibility of the client to obtain any necessary permits, approvals, or licenses required for the installation of the solar plant.</t>
    </r>
  </si>
  <si>
    <r>
      <rPr>
        <b/>
        <u/>
        <sz val="11"/>
        <color theme="1"/>
        <rFont val="Times New Roman"/>
        <family val="1"/>
      </rPr>
      <t>Interruption in Work:</t>
    </r>
    <r>
      <rPr>
        <sz val="11"/>
        <color theme="1"/>
        <rFont val="Times New Roman"/>
        <family val="1"/>
      </rPr>
      <t xml:space="preserve">
The Customer must not interrupt the works, and/or shall abstain from any act or omission of which it can reasonably be expected that it may delay the works or make the works more difficult and or expensive for HTSS. Customer shall not unreasonably delay any Engineering approvals which will delay the project and make reasonable efforts that all Engineering approvals shall be provided within 7 days of submission of drawings.</t>
    </r>
  </si>
  <si>
    <r>
      <rPr>
        <b/>
        <u/>
        <sz val="11"/>
        <color theme="1"/>
        <rFont val="Times New Roman"/>
        <family val="1"/>
      </rPr>
      <t>Liability:</t>
    </r>
    <r>
      <rPr>
        <sz val="11"/>
        <color theme="1"/>
        <rFont val="Times New Roman"/>
        <family val="1"/>
      </rPr>
      <t xml:space="preserve">
Hi-Tech Solar Solution shall not be liable for any damages or losses resulting from acts of nature, accidents, or misuse of the solar plant after installation.</t>
    </r>
  </si>
  <si>
    <r>
      <rPr>
        <b/>
        <u/>
        <sz val="11"/>
        <color theme="1"/>
        <rFont val="Times New Roman"/>
        <family val="1"/>
      </rPr>
      <t>Changes and Modifications:</t>
    </r>
    <r>
      <rPr>
        <sz val="11"/>
        <color theme="1"/>
        <rFont val="Times New Roman"/>
        <family val="1"/>
      </rPr>
      <t xml:space="preserve">
Any changes or modifications to the project scope must be agreed upon in writing by both parties and may result in adjustments to the project timeline and cost.</t>
    </r>
  </si>
  <si>
    <r>
      <rPr>
        <b/>
        <u/>
        <sz val="11"/>
        <color theme="1"/>
        <rFont val="Times New Roman"/>
        <family val="1"/>
      </rPr>
      <t>Cable length:</t>
    </r>
    <r>
      <rPr>
        <b/>
        <sz val="11"/>
        <color theme="1"/>
        <rFont val="Times New Roman"/>
        <family val="1"/>
      </rPr>
      <t xml:space="preserve">
</t>
    </r>
    <r>
      <rPr>
        <sz val="11"/>
        <color theme="1"/>
        <rFont val="Times New Roman"/>
        <family val="1"/>
      </rPr>
      <t>Described cable length in BOQ is included in standard plant rate.
length more than from described BOQ will be charged extra as per Actual.</t>
    </r>
  </si>
  <si>
    <r>
      <rPr>
        <b/>
        <u/>
        <sz val="11"/>
        <color theme="1"/>
        <rFont val="Times New Roman"/>
        <family val="1"/>
      </rPr>
      <t>Exclusions:</t>
    </r>
    <r>
      <rPr>
        <sz val="11"/>
        <color theme="1"/>
        <rFont val="Times New Roman"/>
        <family val="1"/>
      </rPr>
      <t xml:space="preserve">
The warranty does not cover damage caused by acts of nature, accidents, misuse, or unauthorized modifications to the solar plant.
Damage resulting from improper installation, maintenance, or servicing by parties other than Hi-Tech Solar Solution is not covered under this warranty.</t>
    </r>
  </si>
  <si>
    <r>
      <rPr>
        <b/>
        <u/>
        <sz val="11"/>
        <color theme="1"/>
        <rFont val="Times New Roman"/>
        <family val="1"/>
      </rPr>
      <t>Security and Safety:</t>
    </r>
    <r>
      <rPr>
        <b/>
        <sz val="11"/>
        <color theme="1"/>
        <rFont val="Times New Roman"/>
        <family val="1"/>
      </rPr>
      <t xml:space="preserve">
</t>
    </r>
    <r>
      <rPr>
        <sz val="11"/>
        <color theme="1"/>
        <rFont val="Times New Roman"/>
        <family val="1"/>
      </rPr>
      <t>On delivery of supplies to Customer’s site in good condition, Customer shall be responsible for safety &amp; security of the materials till handing over of the same to HTSS designated personnel for installation. Customer shall resolve the disturbances at its premises and neighbouring areas which will impact the project progress at its own risk &amp; cost and for smooth execution of the project by HTSS. In such case, Customer shall provide safety &amp; security for the HTSS designated personnel working at site.Any delay in execution or damage of materials due to any disturbances at site shall be attributable to and compensated by Customer.</t>
    </r>
  </si>
  <si>
    <r>
      <rPr>
        <b/>
        <u/>
        <sz val="11"/>
        <color theme="1"/>
        <rFont val="Times New Roman"/>
        <family val="1"/>
      </rPr>
      <t>Inclusion of Excluded Items:</t>
    </r>
    <r>
      <rPr>
        <sz val="11"/>
        <color theme="1"/>
        <rFont val="Times New Roman"/>
        <family val="1"/>
      </rPr>
      <t xml:space="preserve">
Any additional items due to change in scope or due to change in building or initial layout
shall be charged extra and will be to customer’s account.</t>
    </r>
  </si>
  <si>
    <r>
      <rPr>
        <b/>
        <u/>
        <sz val="11"/>
        <color theme="1"/>
        <rFont val="Times New Roman"/>
        <family val="1"/>
      </rPr>
      <t>Force Majeure Clause:</t>
    </r>
    <r>
      <rPr>
        <sz val="11"/>
        <color theme="1"/>
        <rFont val="Times New Roman"/>
        <family val="1"/>
      </rPr>
      <t xml:space="preserve">
Force Majeure refers to any event or circumstance, whether existing or arising in the future, that lies beyond the reasonable control of HTSS . Such events may include, but are not limited to, natural calamities like storms, earthquakes, floods, fires, or explosions; health-related crises such as epidemics or quarantines; labor disturbances including strikes, riots, lockouts; as well as war, terrorism, embargoes, civil or military interference, or government actions and regulations enacted in a sovereign capacity. All such instances shall collectively be deemed “Force Majeure.”
If a Force Majeure event prevents HTSS from fulfilling its obligations under this Proposal, the company shall not be delay responsible for such non-performance, provided the event is directly responsible for the delay or failure. However, this does not absolve the Customer of its obligation to fulfill all payment-related commitments.
In the event of a suspension due to Force Majeure, HTSS shall be entitled to recover the following costs:
1)Payments for all work completed up to the date of suspension.
2)Expenses related to materials already delivered to the Customer or those for which HTSS remains liable.
3)Other reasonable costs incurred in anticipation of project completion, including any unamortized material expenses.
4)Charges associated with the demobilization of workforce and equipment.
5)Any additional costs incurred due to the suspension of third-party supplier contracts.</t>
    </r>
  </si>
  <si>
    <r>
      <rPr>
        <b/>
        <u/>
        <sz val="11"/>
        <color theme="1"/>
        <rFont val="Times New Roman"/>
        <family val="1"/>
      </rPr>
      <t>Termination by Customer for Contractor Default:</t>
    </r>
    <r>
      <rPr>
        <b/>
        <sz val="11"/>
        <color theme="1"/>
        <rFont val="Times New Roman"/>
        <family val="1"/>
      </rPr>
      <t xml:space="preserve">
</t>
    </r>
    <r>
      <rPr>
        <sz val="11"/>
        <color theme="1"/>
        <rFont val="Times New Roman"/>
        <family val="1"/>
      </rPr>
      <t xml:space="preserve">The Customer reserves the right to terminate the Contract immediately under the following conditions, by providing written notice to the Contractor stating the reasons for termination:
</t>
    </r>
    <r>
      <rPr>
        <b/>
        <sz val="11"/>
        <color theme="1"/>
        <rFont val="Times New Roman"/>
        <family val="1"/>
      </rPr>
      <t>Grounds for Termination:</t>
    </r>
    <r>
      <rPr>
        <sz val="11"/>
        <color theme="1"/>
        <rFont val="Times New Roman"/>
        <family val="1"/>
      </rPr>
      <t xml:space="preserve">
Abandonment or Repudiation: The Contractor has abandoned or repudiated the Contract. </t>
    </r>
    <r>
      <rPr>
        <b/>
        <sz val="11"/>
        <color theme="1"/>
        <rFont val="Times New Roman"/>
        <family val="1"/>
      </rPr>
      <t>Insolvency or Bankruptcy:</t>
    </r>
    <r>
      <rPr>
        <sz val="11"/>
        <color theme="1"/>
        <rFont val="Times New Roman"/>
        <family val="1"/>
      </rPr>
      <t xml:space="preserve"> The Contractor:
Becomes bankrupt or insolvent
Has a receiving order issued against it
Compounds with its creditors
In the case of a corporation, a resolution is passed or a court order is made for its winding up
</t>
    </r>
    <r>
      <rPr>
        <b/>
        <sz val="11"/>
        <color theme="1"/>
        <rFont val="Times New Roman"/>
        <family val="1"/>
      </rPr>
      <t>Entitlements Upon Termination:</t>
    </r>
    <r>
      <rPr>
        <sz val="11"/>
        <color theme="1"/>
        <rFont val="Times New Roman"/>
        <family val="1"/>
      </rPr>
      <t xml:space="preserve">
In the event of such termination:
The Contractor shall be entitled to receive payment for:
The portion of the Contract Price attributable to the Facilities completed up to the termination date
The value of unused or partially used Plant and Equipment present on-site
Reasonable costs incurred in protecting the Facilities and restoring the Site to a clean and safe condition
</t>
    </r>
    <r>
      <rPr>
        <b/>
        <sz val="11"/>
        <color theme="1"/>
        <rFont val="Times New Roman"/>
        <family val="1"/>
      </rPr>
      <t>Deductions:</t>
    </r>
    <r>
      <rPr>
        <sz val="11"/>
        <color theme="1"/>
        <rFont val="Times New Roman"/>
        <family val="1"/>
      </rPr>
      <t xml:space="preserve">
Any amount owed by the Contractor to the Employer that accrued before the termination date will be deducted from the total amount payable to the Contractor.</t>
    </r>
  </si>
  <si>
    <r>
      <rPr>
        <b/>
        <u/>
        <sz val="11"/>
        <color theme="1"/>
        <rFont val="Times New Roman"/>
        <family val="1"/>
      </rPr>
      <t>Termination by Contractor Due to Customer Default:</t>
    </r>
    <r>
      <rPr>
        <b/>
        <sz val="11"/>
        <color theme="1"/>
        <rFont val="Times New Roman"/>
        <family val="1"/>
      </rPr>
      <t xml:space="preserve">
</t>
    </r>
    <r>
      <rPr>
        <sz val="11"/>
        <color theme="1"/>
        <rFont val="Times New Roman"/>
        <family val="1"/>
      </rPr>
      <t xml:space="preserve">The Contractor may terminate the Contract immediately by providing a written notice of termination along with the reasons for such termination, under the following circumstances:
</t>
    </r>
    <r>
      <rPr>
        <b/>
        <sz val="11"/>
        <color theme="1"/>
        <rFont val="Times New Roman"/>
        <family val="1"/>
      </rPr>
      <t xml:space="preserve">
Grounds for Termination</t>
    </r>
    <r>
      <rPr>
        <sz val="11"/>
        <color theme="1"/>
        <rFont val="Times New Roman"/>
        <family val="1"/>
      </rPr>
      <t xml:space="preserve">
</t>
    </r>
    <r>
      <rPr>
        <b/>
        <sz val="11"/>
        <color theme="1"/>
        <rFont val="Times New Roman"/>
        <family val="1"/>
      </rPr>
      <t>Non-Payment or Invoice Disapproval</t>
    </r>
    <r>
      <rPr>
        <sz val="11"/>
        <color theme="1"/>
        <rFont val="Times New Roman"/>
        <family val="1"/>
      </rPr>
      <t xml:space="preserve">
The Customer fails to pay any due amount under the Contract within the specified period.
The Customer fails to approve an invoice.
</t>
    </r>
    <r>
      <rPr>
        <b/>
        <sz val="11"/>
        <color theme="1"/>
        <rFont val="Times New Roman"/>
        <family val="1"/>
      </rPr>
      <t>Customer Insolvency or Bankruptcy</t>
    </r>
    <r>
      <rPr>
        <sz val="11"/>
        <color theme="1"/>
        <rFont val="Times New Roman"/>
        <family val="1"/>
      </rPr>
      <t xml:space="preserve">
The Customer becomes bankrupt or insolvent.
A receiving order is issued against the Customer.
The Customer compounds with its creditors.
If the Customer is a corporation, a resolution is passed or an order is made for its winding up.
</t>
    </r>
    <r>
      <rPr>
        <b/>
        <sz val="11"/>
        <color theme="1"/>
        <rFont val="Times New Roman"/>
        <family val="1"/>
      </rPr>
      <t>Failure to Support Contractor Obligations</t>
    </r>
    <r>
      <rPr>
        <sz val="11"/>
        <color theme="1"/>
        <rFont val="Times New Roman"/>
        <family val="1"/>
      </rPr>
      <t xml:space="preserve">
The Contractor is unable to fulfill its obligations due to reasons attributable to the Customer, including but not limited to:
Failure to provide possession of or access to the Site or other necessary areas.
Failure to obtain any required government permits.
Failure to issue dispatch clearance within the specified time.</t>
    </r>
  </si>
  <si>
    <r>
      <rPr>
        <b/>
        <u/>
        <sz val="11"/>
        <color theme="1"/>
        <rFont val="Times New Roman"/>
        <family val="1"/>
      </rPr>
      <t>Contractor’s Entitlement Upon Termination:</t>
    </r>
    <r>
      <rPr>
        <b/>
        <sz val="11"/>
        <color theme="1"/>
        <rFont val="Times New Roman"/>
        <family val="1"/>
      </rPr>
      <t xml:space="preserve">
</t>
    </r>
    <r>
      <rPr>
        <sz val="11"/>
        <color theme="1"/>
        <rFont val="Times New Roman"/>
        <family val="1"/>
      </rPr>
      <t xml:space="preserve">If termination occurs due to the above reasons, the Customer is liable to compensate the Contractor for all related losses and damages, including but not limited to:
</t>
    </r>
    <r>
      <rPr>
        <b/>
        <sz val="11"/>
        <color theme="1"/>
        <rFont val="Times New Roman"/>
        <family val="1"/>
      </rPr>
      <t>Contract Price</t>
    </r>
    <r>
      <rPr>
        <sz val="11"/>
        <color theme="1"/>
        <rFont val="Times New Roman"/>
        <family val="1"/>
      </rPr>
      <t xml:space="preserve">
Payment for the portion of the Facilities already executed as of the termination date.
</t>
    </r>
    <r>
      <rPr>
        <b/>
        <sz val="11"/>
        <color theme="1"/>
        <rFont val="Times New Roman"/>
        <family val="1"/>
      </rPr>
      <t>Demobilization Costs</t>
    </r>
    <r>
      <rPr>
        <sz val="11"/>
        <color theme="1"/>
        <rFont val="Times New Roman"/>
        <family val="1"/>
      </rPr>
      <t xml:space="preserve">
Expenses for demobilization of equipment and Contractor personnel.
</t>
    </r>
    <r>
      <rPr>
        <b/>
        <sz val="11"/>
        <color theme="1"/>
        <rFont val="Times New Roman"/>
        <family val="1"/>
      </rPr>
      <t xml:space="preserve">
Subcontractor Settlements</t>
    </r>
    <r>
      <rPr>
        <sz val="11"/>
        <color theme="1"/>
        <rFont val="Times New Roman"/>
        <family val="1"/>
      </rPr>
      <t xml:space="preserve">
Any payable amounts or cancellation charges to Subcontractors due to subcontract termination.
</t>
    </r>
    <r>
      <rPr>
        <b/>
        <sz val="11"/>
        <color theme="1"/>
        <rFont val="Times New Roman"/>
        <family val="1"/>
      </rPr>
      <t>Site Management Costs</t>
    </r>
    <r>
      <rPr>
        <sz val="11"/>
        <color theme="1"/>
        <rFont val="Times New Roman"/>
        <family val="1"/>
      </rPr>
      <t xml:space="preserve">
Costs incurred to protect the Facilities and leave the Site in a clean and safe condition.
</t>
    </r>
    <r>
      <rPr>
        <b/>
        <sz val="11"/>
        <color theme="1"/>
        <rFont val="Times New Roman"/>
        <family val="1"/>
      </rPr>
      <t xml:space="preserve">
Third-Party Commitments</t>
    </r>
    <r>
      <rPr>
        <sz val="11"/>
        <color theme="1"/>
        <rFont val="Times New Roman"/>
        <family val="1"/>
      </rPr>
      <t xml:space="preserve">
Expenses arising from obligations and claims the Contractor has undertaken in good faith with third parties related to the Contract.</t>
    </r>
  </si>
  <si>
    <r>
      <rPr>
        <b/>
        <u/>
        <sz val="11"/>
        <rFont val="Times New Roman"/>
        <family val="1"/>
      </rPr>
      <t>Quotation Validity</t>
    </r>
    <r>
      <rPr>
        <u/>
        <sz val="11"/>
        <rFont val="Times New Roman"/>
        <family val="1"/>
      </rPr>
      <t xml:space="preserve">: </t>
    </r>
    <r>
      <rPr>
        <sz val="11"/>
        <rFont val="Times New Roman"/>
        <family val="1"/>
      </rPr>
      <t>The quotation provided is valid for a period of 15 days from the date of issuance. Prices are subject to change after this period.</t>
    </r>
  </si>
  <si>
    <t>MAKE</t>
  </si>
  <si>
    <t>DESCRIPTION</t>
  </si>
  <si>
    <t>SUNGROW</t>
  </si>
  <si>
    <t>KALRE</t>
  </si>
  <si>
    <t>APAR / POLYCAB / RR KABEL / HAVELLS</t>
  </si>
  <si>
    <t>INDOCAB</t>
  </si>
  <si>
    <t>HIGH YIELD - Lower startup &amp; wider MPPT voltage
EASY AND USER FRIENDLY - Fast and easy commissioning via iSolarCloud App
SAFE AND RELIABLE 
Build-in Type II DC &amp; AC SPD
C5 anti-corrosion &amp; IP65
Remote firmware updates</t>
  </si>
  <si>
    <t>Compatible with high power PV modules
Built-in Type II DC &amp; AC SPD
IP65, indoor &amp; outdoor installation
Lower startup &amp; wider MPPT voltage range
Built-in smart PID Zero function
One-click access to iSolarCloud monitoring platform
Light and compact(A4 Size)with optimized heat dissipation design
Real time data (10 seconds refresh sample)
Remote firmware updates</t>
  </si>
  <si>
    <t>IP66 protection and C5 Anti-corrosion
DC Type I+II SPD, AC Type II SPD
Support AFCI 2.0 function
Key component diagnosis and protection
Smart IV Curve Diagnosis
Grid fault record function, easy for remote O&amp;M
DC 15A current input, compatiable with
over 500W+ PV module
Dynamic shading optimization mode
Built-in PID recovery function</t>
  </si>
  <si>
    <r>
      <t xml:space="preserve">IP66 and C5 protection
Type II SPD for both DC and AC
Compliant with global safety and grid code
9 MPPTs with max. </t>
    </r>
    <r>
      <rPr>
        <b/>
        <sz val="14"/>
        <rFont val="Calibri Light"/>
        <family val="2"/>
        <scheme val="major"/>
      </rPr>
      <t>efficiency 98.7%</t>
    </r>
    <r>
      <rPr>
        <sz val="14"/>
        <rFont val="Calibri Light"/>
        <family val="2"/>
        <scheme val="major"/>
      </rPr>
      <t xml:space="preserve">
Compatible with bifacial module
Built-in PID recovery function
Touch free commissioning and remote firmware upgrade
Online IV curve scan and diagnosis
Fuse free design with smart string current monitoring
Compatible with Al and Cu AC cables
DC 2 in 1 connection enabled
Q at night function</t>
    </r>
  </si>
  <si>
    <t xml:space="preserve">20MM PVC CONDUITE </t>
  </si>
  <si>
    <t xml:space="preserve">25MM PVC CONDUITE </t>
  </si>
  <si>
    <t xml:space="preserve">35MM PVC CONDUITE </t>
  </si>
  <si>
    <t>VARDHMAN</t>
  </si>
  <si>
    <t>MC4 CONNECTORS</t>
  </si>
  <si>
    <t>LIGHTNING ARRESTOR</t>
  </si>
  <si>
    <t>EARTHING ROAD</t>
  </si>
  <si>
    <t>AC CABLE- 2</t>
  </si>
  <si>
    <t>LA CABLE / STRIP</t>
  </si>
  <si>
    <t>CONDUITE</t>
  </si>
  <si>
    <t>ISOLATION</t>
  </si>
  <si>
    <t>FOUNDATION BLOCK</t>
  </si>
  <si>
    <t>OTHER MISS. ITEM</t>
  </si>
  <si>
    <t>ITEM HEAD</t>
  </si>
  <si>
    <t>COMMISSIONING AND TESTING</t>
  </si>
  <si>
    <t>GST %</t>
  </si>
  <si>
    <t>TOTAL GST</t>
  </si>
  <si>
    <t>ITEM MAKE</t>
  </si>
  <si>
    <t>STR - HDGI 60 MICRON 60X40</t>
  </si>
  <si>
    <t>STR - HDGI 60 MICRON 40X40</t>
  </si>
  <si>
    <t>STR - HDGI 60 MICRON 80X40</t>
  </si>
  <si>
    <t>ISOLATOR SWITCH</t>
  </si>
  <si>
    <t>QTY</t>
  </si>
  <si>
    <t>LS</t>
  </si>
  <si>
    <t>SUB TOTAL</t>
  </si>
  <si>
    <t>FINAL VALUE</t>
  </si>
  <si>
    <t>31</t>
  </si>
  <si>
    <t>FRP Cable TraySize: (W) 50mm x(H)50mm x (T)3mm</t>
  </si>
  <si>
    <t>FRP Cable TraySize: (W) 75mmX(H) 25mmX(T) 3mm</t>
  </si>
  <si>
    <t>FRP Cable TraySize: (W) 100mm x(H)50mm x (T)3mm</t>
  </si>
  <si>
    <t>FRP Cable TraySize: (W) 150mmX(H) 50mmX (T) 3mm</t>
  </si>
  <si>
    <t>FRP Cable TraySize: (W) 200mm x(H)50mm x (T)3mm</t>
  </si>
  <si>
    <t>FRP Cable TraySize: (W) 300mmX(H) 50mmX(T) 3mm</t>
  </si>
  <si>
    <t>Bi-facial photovoltaic (PV) modules are advanced solar panels that generate power from both the front and rear sides. The front side captures direct sunlight, while the rear side absorbs reflected light from surfaces such as the ground or rooftops. This dual-side generation increases overall energy yield by 5% to 30%, depending on site conditions and albedo.</t>
  </si>
  <si>
    <t>TOPCon (Tunnel Oxide Passivated Contact) bi-facial PV modules are next-generation high-efficiency solar panels that generate power from both front and rear surfaces. These modules utilize advanced n-type cell technology, offering higher efficiency, better low-light performance, and lower degradation rates compared to traditional PERC modules. With bifacial gain ranging from 5% to 25% depending on site conditions, TOPCon modules deliver superior energy output and long-term reliability—ideal for commercial, industrial, and utility-scale installations.</t>
  </si>
  <si>
    <t>The Solar Mono Rail Structure is a streamlined, single-rail mounting system designed for quick and secure installation of solar PV modules. Made from high-strength aluminum or galvanized steel, it offers lightweight construction, corrosion resistance, and structural stability. Ideal for rooftop and ground-mounted systems, mono rail structures reduce installation time and material usage while ensuring optimal panel alignment and wind resistance.</t>
  </si>
  <si>
    <t>The Elevated Aluminum Mono Rail Structure is a lightweight, corrosion-resistant mounting solution designed for solar installations on rooftops or uneven surfaces. Constructed from high-grade anodized aluminum, it provides enhanced elevation for better airflow, easy maintenance access, and improved energy generation through optimal tilt angles. This structure ensures durability, quick installation, and long-term performance with minimal load on the roof.</t>
  </si>
  <si>
    <t>MS - BASE PLATE 125X125 3 MM</t>
  </si>
  <si>
    <t>MS - BASE PLATE 150X150 4MM</t>
  </si>
  <si>
    <r>
      <t xml:space="preserve">The AC Distribution Box (ACDB) is designed to distribute and protect the AC output from the solar inverter. It includes:
</t>
    </r>
    <r>
      <rPr>
        <b/>
        <sz val="14"/>
        <color theme="1"/>
        <rFont val="Calibri Light"/>
        <family val="2"/>
        <scheme val="major"/>
      </rPr>
      <t>MCB</t>
    </r>
    <r>
      <rPr>
        <sz val="14"/>
        <color theme="1"/>
        <rFont val="Calibri Light"/>
        <family val="2"/>
        <scheme val="major"/>
      </rPr>
      <t xml:space="preserve"> (Miniature Circuit Breaker) and MCCB (Molded Case Circuit Breaker) for overload and short-circuit protection
</t>
    </r>
    <r>
      <rPr>
        <b/>
        <sz val="14"/>
        <color theme="1"/>
        <rFont val="Calibri Light"/>
        <family val="2"/>
        <scheme val="major"/>
      </rPr>
      <t>Contactor</t>
    </r>
    <r>
      <rPr>
        <sz val="14"/>
        <color theme="1"/>
        <rFont val="Calibri Light"/>
        <family val="2"/>
        <scheme val="major"/>
      </rPr>
      <t xml:space="preserve"> for automatic load control
</t>
    </r>
    <r>
      <rPr>
        <b/>
        <sz val="14"/>
        <color theme="1"/>
        <rFont val="Calibri Light"/>
        <family val="2"/>
        <scheme val="major"/>
      </rPr>
      <t>SPD</t>
    </r>
    <r>
      <rPr>
        <sz val="14"/>
        <color theme="1"/>
        <rFont val="Calibri Light"/>
        <family val="2"/>
        <scheme val="major"/>
      </rPr>
      <t xml:space="preserve"> (Surge Protection Device) to safeguard against voltage spikes and surges
This compact and robust ACDB ensures safe, reliable, and efficient operation of the solar power system, meeting electrical safety standards.</t>
    </r>
  </si>
  <si>
    <r>
      <t xml:space="preserve">The ACDB is a critical component in the solar power system that safely manages and distributes AC power from the inverter to the load or grid. It is equipped with:
</t>
    </r>
    <r>
      <rPr>
        <b/>
        <sz val="14"/>
        <color theme="1"/>
        <rFont val="Calibri Light"/>
        <family val="2"/>
        <scheme val="major"/>
      </rPr>
      <t>MCB</t>
    </r>
    <r>
      <rPr>
        <sz val="14"/>
        <color theme="1"/>
        <rFont val="Calibri Light"/>
        <family val="2"/>
        <scheme val="major"/>
      </rPr>
      <t xml:space="preserve"> (Miniature Circuit Breaker) and MCCB (Molded Case Circuit Breaker) for circuit protection
</t>
    </r>
    <r>
      <rPr>
        <b/>
        <sz val="14"/>
        <color theme="1"/>
        <rFont val="Calibri Light"/>
        <family val="2"/>
        <scheme val="major"/>
      </rPr>
      <t>Contactor</t>
    </r>
    <r>
      <rPr>
        <sz val="14"/>
        <color theme="1"/>
        <rFont val="Calibri Light"/>
        <family val="2"/>
        <scheme val="major"/>
      </rPr>
      <t xml:space="preserve"> for automatic switching control
</t>
    </r>
    <r>
      <rPr>
        <b/>
        <sz val="14"/>
        <color theme="1"/>
        <rFont val="Calibri Light"/>
        <family val="2"/>
        <scheme val="major"/>
      </rPr>
      <t>NVR</t>
    </r>
    <r>
      <rPr>
        <sz val="14"/>
        <color theme="1"/>
        <rFont val="Calibri Light"/>
        <family val="2"/>
        <scheme val="major"/>
      </rPr>
      <t xml:space="preserve"> (No-Volt Release) and SPP (Single Phase Preventer) for protection against phase failure and voltage loss
</t>
    </r>
    <r>
      <rPr>
        <b/>
        <sz val="14"/>
        <color theme="1"/>
        <rFont val="Calibri Light"/>
        <family val="2"/>
        <scheme val="major"/>
      </rPr>
      <t>SPD</t>
    </r>
    <r>
      <rPr>
        <sz val="14"/>
        <color theme="1"/>
        <rFont val="Calibri Light"/>
        <family val="2"/>
        <scheme val="major"/>
      </rPr>
      <t xml:space="preserve"> (Surge Protection Device) for protection against voltage surges
</t>
    </r>
    <r>
      <rPr>
        <b/>
        <sz val="14"/>
        <color theme="1"/>
        <rFont val="Calibri Light"/>
        <family val="2"/>
        <scheme val="major"/>
      </rPr>
      <t>MMF</t>
    </r>
    <r>
      <rPr>
        <sz val="14"/>
        <color theme="1"/>
        <rFont val="Calibri Light"/>
        <family val="2"/>
        <scheme val="major"/>
      </rPr>
      <t xml:space="preserve"> Meter (Multifunction Meter) for real-time monitoring of voltage, current, power, and energy
This fully integrated ACDB ensures system safety, reliable operation, and accurate energy monitoring in solar installations.</t>
    </r>
  </si>
  <si>
    <r>
      <t xml:space="preserve">The AC Distribution Box (ACDB) is designed to safely distribute the AC power from the solar inverter to the load or utility grid. It includes:
</t>
    </r>
    <r>
      <rPr>
        <b/>
        <sz val="14"/>
        <color theme="1"/>
        <rFont val="Calibri Light"/>
        <family val="2"/>
        <scheme val="major"/>
      </rPr>
      <t>MCB &amp; MCCB</t>
    </r>
    <r>
      <rPr>
        <sz val="14"/>
        <color theme="1"/>
        <rFont val="Calibri Light"/>
        <family val="2"/>
        <scheme val="major"/>
      </rPr>
      <t xml:space="preserve"> for overload and short-circuit protection
</t>
    </r>
    <r>
      <rPr>
        <b/>
        <sz val="14"/>
        <color theme="1"/>
        <rFont val="Calibri Light"/>
        <family val="2"/>
        <scheme val="major"/>
      </rPr>
      <t>Contactor</t>
    </r>
    <r>
      <rPr>
        <sz val="14"/>
        <color theme="1"/>
        <rFont val="Calibri Light"/>
        <family val="2"/>
        <scheme val="major"/>
      </rPr>
      <t xml:space="preserve"> for automated load switching
</t>
    </r>
    <r>
      <rPr>
        <b/>
        <sz val="14"/>
        <color theme="1"/>
        <rFont val="Calibri Light"/>
        <family val="2"/>
        <scheme val="major"/>
      </rPr>
      <t>SPD</t>
    </r>
    <r>
      <rPr>
        <sz val="14"/>
        <color theme="1"/>
        <rFont val="Calibri Light"/>
        <family val="2"/>
        <scheme val="major"/>
      </rPr>
      <t xml:space="preserve"> (Surge Protection Device) for protection against electrical surges
</t>
    </r>
    <r>
      <rPr>
        <b/>
        <sz val="14"/>
        <color theme="1"/>
        <rFont val="Calibri Light"/>
        <family val="2"/>
        <scheme val="major"/>
      </rPr>
      <t>NVR</t>
    </r>
    <r>
      <rPr>
        <sz val="14"/>
        <color theme="1"/>
        <rFont val="Calibri Light"/>
        <family val="2"/>
        <scheme val="major"/>
      </rPr>
      <t xml:space="preserve"> (No-Volt Release) for protection against phase loss and ensuring safe re-energization
This ACDB ensures reliable operation, enhanced safety, and compliance with standard electrical protection norms in solar power systems.</t>
    </r>
  </si>
  <si>
    <r>
      <t xml:space="preserve">The AC Distribution Box (ACDB) is a vital component for managing and protecting the AC output from the solar inverter. It is equipped with:
</t>
    </r>
    <r>
      <rPr>
        <b/>
        <sz val="14"/>
        <color theme="1"/>
        <rFont val="Calibri Light"/>
        <family val="2"/>
        <scheme val="major"/>
      </rPr>
      <t>MCB &amp; MCCB</t>
    </r>
    <r>
      <rPr>
        <sz val="14"/>
        <color theme="1"/>
        <rFont val="Calibri Light"/>
        <family val="2"/>
        <scheme val="major"/>
      </rPr>
      <t xml:space="preserve"> for short-circuit and overload protection
</t>
    </r>
    <r>
      <rPr>
        <b/>
        <sz val="14"/>
        <color theme="1"/>
        <rFont val="Calibri Light"/>
        <family val="2"/>
        <scheme val="major"/>
      </rPr>
      <t>Contactor</t>
    </r>
    <r>
      <rPr>
        <sz val="14"/>
        <color theme="1"/>
        <rFont val="Calibri Light"/>
        <family val="2"/>
        <scheme val="major"/>
      </rPr>
      <t xml:space="preserve"> for automatic power switching
</t>
    </r>
    <r>
      <rPr>
        <b/>
        <sz val="14"/>
        <color theme="1"/>
        <rFont val="Calibri Light"/>
        <family val="2"/>
        <scheme val="major"/>
      </rPr>
      <t>SPD</t>
    </r>
    <r>
      <rPr>
        <sz val="14"/>
        <color theme="1"/>
        <rFont val="Calibri Light"/>
        <family val="2"/>
        <scheme val="major"/>
      </rPr>
      <t xml:space="preserve"> (Surge Protection Device) to guard against voltage surges
</t>
    </r>
    <r>
      <rPr>
        <b/>
        <sz val="14"/>
        <color theme="1"/>
        <rFont val="Calibri Light"/>
        <family val="2"/>
        <scheme val="major"/>
      </rPr>
      <t>NVR</t>
    </r>
    <r>
      <rPr>
        <sz val="14"/>
        <color theme="1"/>
        <rFont val="Calibri Light"/>
        <family val="2"/>
        <scheme val="major"/>
      </rPr>
      <t xml:space="preserve"> (No-Volt Release) for safe restart after power loss
</t>
    </r>
    <r>
      <rPr>
        <b/>
        <sz val="14"/>
        <color theme="1"/>
        <rFont val="Calibri Light"/>
        <family val="2"/>
        <scheme val="major"/>
      </rPr>
      <t>SPP</t>
    </r>
    <r>
      <rPr>
        <sz val="14"/>
        <color theme="1"/>
        <rFont val="Calibri Light"/>
        <family val="2"/>
        <scheme val="major"/>
      </rPr>
      <t xml:space="preserve"> (Single Phase Preventer) to protect against phase failure or reverse phase sequence
This fully integrated ACDB ensures safe, stable, and efficient operation of solar power systems, suitable for residential, commercial, and industrial applications.</t>
    </r>
  </si>
  <si>
    <r>
      <t xml:space="preserve">The DC Distribution Box (DCDB) is used to safely manage and protect the DC power generated by solar PV modules. It includes:
</t>
    </r>
    <r>
      <rPr>
        <b/>
        <sz val="14"/>
        <color theme="1"/>
        <rFont val="Calibri Light"/>
        <family val="2"/>
        <scheme val="major"/>
      </rPr>
      <t>Fuses</t>
    </r>
    <r>
      <rPr>
        <sz val="14"/>
        <color theme="1"/>
        <rFont val="Calibri Light"/>
        <family val="2"/>
        <scheme val="major"/>
      </rPr>
      <t xml:space="preserve"> for overcurrent protection
</t>
    </r>
    <r>
      <rPr>
        <b/>
        <sz val="14"/>
        <color theme="1"/>
        <rFont val="Calibri Light"/>
        <family val="2"/>
        <scheme val="major"/>
      </rPr>
      <t>SPD</t>
    </r>
    <r>
      <rPr>
        <sz val="14"/>
        <color theme="1"/>
        <rFont val="Calibri Light"/>
        <family val="2"/>
        <scheme val="major"/>
      </rPr>
      <t xml:space="preserve"> (Surge Protection Device) to safeguard against voltage surges and lightning strikes
This compact and durable DCDB ensures safe and reliable operation of the solar system by protecting the inverter and other downstream equipment.</t>
    </r>
  </si>
  <si>
    <r>
      <t xml:space="preserve">The DC Distribution Box (DCDB) is designed to protect and control the DC output from solar PV modules. It is equipped with:
</t>
    </r>
    <r>
      <rPr>
        <b/>
        <sz val="14"/>
        <color theme="1"/>
        <rFont val="Calibri Light"/>
        <family val="2"/>
        <scheme val="major"/>
      </rPr>
      <t>DC MCB</t>
    </r>
    <r>
      <rPr>
        <sz val="14"/>
        <color theme="1"/>
        <rFont val="Calibri Light"/>
        <family val="2"/>
        <scheme val="major"/>
      </rPr>
      <t xml:space="preserve"> (Miniature Circuit Breaker) for protection against overcurrent and short circuits
</t>
    </r>
    <r>
      <rPr>
        <b/>
        <sz val="14"/>
        <color theme="1"/>
        <rFont val="Calibri Light"/>
        <family val="2"/>
        <scheme val="major"/>
      </rPr>
      <t>SPD</t>
    </r>
    <r>
      <rPr>
        <sz val="14"/>
        <color theme="1"/>
        <rFont val="Calibri Light"/>
        <family val="2"/>
        <scheme val="major"/>
      </rPr>
      <t xml:space="preserve"> (Surge Protection Device) to protect against voltage surges and lightning-induced spikes
This robust and weatherproof DCDB ensures the safe and reliable operation of the solar power system, enhancing overall system durability.</t>
    </r>
  </si>
  <si>
    <r>
      <t xml:space="preserve">The DC Distribution Box (DCDB) is used to manage and protect the DC power from solar PV modules before it reaches the inverter. It includes:
</t>
    </r>
    <r>
      <rPr>
        <b/>
        <sz val="14"/>
        <color theme="1"/>
        <rFont val="Calibri Light"/>
        <family val="2"/>
        <scheme val="major"/>
      </rPr>
      <t>Fuses</t>
    </r>
    <r>
      <rPr>
        <sz val="14"/>
        <color theme="1"/>
        <rFont val="Calibri Light"/>
        <family val="2"/>
        <scheme val="major"/>
      </rPr>
      <t xml:space="preserve"> for string-level overcurrent protection
</t>
    </r>
    <r>
      <rPr>
        <b/>
        <sz val="14"/>
        <color theme="1"/>
        <rFont val="Calibri Light"/>
        <family val="2"/>
        <scheme val="major"/>
      </rPr>
      <t>DC MCB</t>
    </r>
    <r>
      <rPr>
        <sz val="14"/>
        <color theme="1"/>
        <rFont val="Calibri Light"/>
        <family val="2"/>
        <scheme val="major"/>
      </rPr>
      <t xml:space="preserve"> (Miniature Circuit Breaker) for additional circuit isolation and safety
</t>
    </r>
    <r>
      <rPr>
        <b/>
        <sz val="14"/>
        <color theme="1"/>
        <rFont val="Calibri Light"/>
        <family val="2"/>
        <scheme val="major"/>
      </rPr>
      <t>SPD</t>
    </r>
    <r>
      <rPr>
        <sz val="14"/>
        <color theme="1"/>
        <rFont val="Calibri Light"/>
        <family val="2"/>
        <scheme val="major"/>
      </rPr>
      <t xml:space="preserve"> (Surge Protection Device) to protect against lightning and surge voltages
This well-integrated DCDB ensures enhanced safety, system reliability, and protection of downstream equipment in solar PV installations.</t>
    </r>
  </si>
  <si>
    <r>
      <t xml:space="preserve">The DC Distribution Box (DCDB) with fuse protection is designed to safeguard the DC output from solar PV modules. It includes:
</t>
    </r>
    <r>
      <rPr>
        <b/>
        <sz val="14"/>
        <color theme="1"/>
        <rFont val="Calibri Light"/>
        <family val="2"/>
        <scheme val="major"/>
      </rPr>
      <t>DC Fuses</t>
    </r>
    <r>
      <rPr>
        <sz val="14"/>
        <color theme="1"/>
        <rFont val="Calibri Light"/>
        <family val="2"/>
        <scheme val="major"/>
      </rPr>
      <t xml:space="preserve"> for string-level overcurrent protection, ensuring safe operation and preventing damage to the inverter and cables.
This basic DCDB offers reliable and cost-effective protection for small to medium-sized solar installations.</t>
    </r>
  </si>
  <si>
    <t>Hot dip galvanized pipe with corrosion protection, designed for fast fault current dissipation.
Pipe inner space filled with high conductive material with top to bottom strip. Moisture booster chemical bags provided for low earth resistance
Low maintenance on site</t>
  </si>
  <si>
    <t>250 MICRON COATING pipe with corrosion protection, designed for fast fault current dissipation.
Pipe inner space filled with high conductive material with top to bottom strip. Moisture booster chemical bags provided for low earth resistance
Low maintenance on site</t>
  </si>
  <si>
    <t>Hot dip galvanized pipe with, corrosion protection, designed for fast fault current dissipation with Dual pipe.
Pipe inner space filled with high conductive material with top to bottom strip. Moisture booster chemical bags provided for low earth resistance.
Low maintenance on site.</t>
  </si>
  <si>
    <t>Copper Bonded Earth rods made from high tensile low carbon steel by molecularly bonding 99.9% pure copper with a minimum coating thickness of 250 micron System is Corrosion resistant &amp; rated for high fault currents
Moisture booster chemical bags provided for low earth resistance
Low maintenance on site</t>
  </si>
  <si>
    <t>PURE COPPER PIPE with corrosion protection, designed for fast fault current dissipation.
Pipe inner space filled with high conductive material with top to bottom strip. Moisture booster chemical bags provided for low earth resistance
Low maintenance on site</t>
  </si>
  <si>
    <t>Provides conical protection MOC.
Copper with required Spikes for Building and Chimneys Protection</t>
  </si>
  <si>
    <t>Lightning is one of the most naturally destructive phenomena. There is no device capable of preventing the formation of lightning, but it is possible to minimize its effects with a lightning protection system.
The lightning rod is an essential piece of the lightning protection system. It must be the point of controlled impact of a discharge, so as to provide the lightning current with a path to ground without damaging the
The elements that compose an integral lightning protect on system are the following:
Air terminals (Early Streamer Emission (ESE) air terminals or Franklin rods and meshed conductors).
Down conductors. Earthing.
Surge protection.
Other measures that minimize the destructive effects of lightning (equipotential bonding, shielding, etc.).</t>
  </si>
  <si>
    <r>
      <rPr>
        <b/>
        <sz val="11"/>
        <color theme="1"/>
        <rFont val="Calibri"/>
        <family val="2"/>
        <scheme val="minor"/>
      </rPr>
      <t>RP (Radius protection) 71 meter</t>
    </r>
    <r>
      <rPr>
        <sz val="11"/>
        <color theme="1"/>
        <rFont val="Calibri"/>
        <family val="2"/>
        <scheme val="minor"/>
      </rPr>
      <t xml:space="preserve">
Lightning is one of the most naturally destructive phenomena. There is no device capable of preventing the formation of lightning, but it is possible to minimize its effects with a lightning protection system.
The lightning rod is an essential piece of the lightning protection system. It must be the point of controlled impact of a discharge, so as to provide the lightning current with a path to ground without damaging the
The elements that compose an integral lightning protect on system are the following:
Air terminals (Early Streamer Emission (ESE) air terminals or Franklin rods and meshed conductors).
Down conductors. Earthing.
Surge protection.
Other measures that minimize the destructive effects of lightning (equipotential bonding, shielding, etc.).</t>
    </r>
  </si>
  <si>
    <r>
      <rPr>
        <b/>
        <sz val="11"/>
        <color theme="1"/>
        <rFont val="Calibri"/>
        <family val="2"/>
        <scheme val="minor"/>
      </rPr>
      <t>RP (Radius protection) 107 meter</t>
    </r>
    <r>
      <rPr>
        <sz val="11"/>
        <color theme="1"/>
        <rFont val="Calibri"/>
        <family val="2"/>
        <scheme val="minor"/>
      </rPr>
      <t xml:space="preserve">
Lightning is one of the most naturally destructive phenomena. There is no device capable of preventing the formation of lightning, but it is possible to minimize its effects with a lightning protection system.
The lightning rod is an essential piece of the lightning protection system. It must be the point of controlled impact of a discharge, so as to provide the lightning current with a path to ground without damaging the
The elements that compose an integral lightning protect on system are the following:
Air terminals (Early Streamer Emission (ESE) air terminals or Franklin rods and meshed conductors).
Down conductors. Earthing.
Surge protection.
Other measures that minimize the destructive effects of lightning (equipotential bonding, shielding, etc.).</t>
    </r>
  </si>
  <si>
    <t>MODULE WATTAGE</t>
  </si>
  <si>
    <t>TOTAL WP</t>
  </si>
  <si>
    <t>TOTAL KW</t>
  </si>
  <si>
    <t>AC 2 C X 2.5 SQMM CU.FLEX CABLE</t>
  </si>
  <si>
    <t>AC 2 C X 4.0 SQMM CU.FLEX CABLE</t>
  </si>
  <si>
    <t>AC 2 C X 6.0 SQMM CU.FLEX CABLE</t>
  </si>
  <si>
    <t>AC 4 C X 6.0 SQMM CU.FLEX CABLE</t>
  </si>
  <si>
    <t>DC 1C X 2.5 SQMM CU.FLEX CABLE</t>
  </si>
  <si>
    <t>DC 1C X 4.0 SQMM CU.FLEX CABLE</t>
  </si>
  <si>
    <t>DC 1C X 6.0 SQMM CU.FLEX CABLE</t>
  </si>
  <si>
    <t>Supply and laying of DC 1 Core x 2.5 sqmm copper flexible cable (Apar / Polycab / RR Kabel / Havells make), single-core, UV resistant, XLPE insulated, suitable for outdoor solar PV installations. Ensures high conductivity, weather resistance, and low voltage drop performance.</t>
  </si>
  <si>
    <t>Supply and laying of AC 2 Core x 2.5 sqmm copper flexible cable (Apar / Polycab / RR Kabel / Havells make), PVC insulated and sheathed, suitable for AC power transmission in rooftop solar systems. Offers excellent flexibility, thermal stability, and long-term performance under varying load conditions.</t>
  </si>
  <si>
    <t>Supply and laying of DC 1 Core x 4.0 sqmm copper flexible cable (Apar / Polycab / RR Kabel / Havells make), XLPE insulated, UV and weather resistant, suitable for interconnection of solar PV modules and DC circuits. Ensures high conductivity, low voltage drop, and long-term outdoor durability.</t>
  </si>
  <si>
    <t>FRP Solar Walkway - Size: (W) 272mm x (L)3660mm x (H)25mm,Mesh Size: 38mm x 38mm</t>
  </si>
  <si>
    <t>FRP Solar Walkway - Size: (W) 310mm x (L)3660mm x (H)25mm,Mesh Size: 38mm x 38mm</t>
  </si>
  <si>
    <t>NIGBO</t>
  </si>
  <si>
    <t>Supply and laying of AC 2 Core x 4.0 sqmm copper flexible cable (Apar / Polycab / RR Kabel / Havells make), PVC insulated and sheathed, suitable for AC power distribution in solar systems. Offers high conductivity, flexibility, and reliable performance under varying electrical and environmental conditions.</t>
  </si>
  <si>
    <t>Supply and laying of AC 2 Core x 6.0 sqmm copper flexible cable (Apar / Polycab / RR Kabel / Havells make), PVC insulated and sheathed, suitable for AC power connections in solar systems. Provides high conductivity, thermal stability, and reliable performance under continuous load and outdoor conditions.</t>
  </si>
  <si>
    <t>Supply and laying of AC 4 Core x 16 sqmm Aluminium Armoured Cable (Apar / Polycab / RR Kabel / Havells make), XLPE insulated, PVC sheathed, heavy-duty cable suitable for underground or outdoor AC power transmission in solar power systems. Offers mechanical protection, thermal endurance, and reliable performance under load conditions.</t>
  </si>
  <si>
    <t>Supply and laying of AC 4 Core x 25 sqmm Aluminium Armoured Cable (Apar / Polycab / RR Kabel / Havells make), XLPE insulated, PVC sheathed, suitable for LT power distribution in solar systems. Designed for underground or outdoor installations, offering excellent mechanical protection, thermal resistance, and long service life under varying load conditions.</t>
  </si>
  <si>
    <t>Supply and laying of AC 3.5 Core x 35 sqmm Aluminium Armoured Cable (Apar / Polycab / RR Kabel / Havells make), XLPE insulated, PVC sheathed, suitable for LT power transmission in solar installations. Provides robust mechanical protection, excellent thermal performance, and is ideal for underground or outdoor use under continuous load conditions.</t>
  </si>
  <si>
    <t>Supply and laying of AC 3.5 Core x 50 sqmm Aluminium Armoured Cable (Apar / Polycab / RR Kabel / Havells make), XLPE insulated, PVC sheathed, suitable for LT power distribution in solar power systems. Designed for outdoor and underground installation, offering high current-carrying capacity, mechanical durability, and thermal stability under continuous load conditions.</t>
  </si>
  <si>
    <t>Supply and laying of AC 3.5 Core x 70 sqmm Aluminium Armoured Cable (Apar / Polycab / RR Kabel / Havells make), XLPE insulated, PVC sheathed, suitable for LT power transmission in solar installations. Engineered for underground and outdoor use, ensuring high current-carrying capacity, mechanical strength, and long-term thermal and electrical performance.</t>
  </si>
  <si>
    <t>Supply and laying of AC 3.5 Core x 95 sqmm Aluminium Armoured Cable (Apar / Polycab / RR Kabel / Havells make), XLPE insulated, PVC sheathed, suitable for LT power distribution in solar power systems. Designed for outdoor and underground applications, ensuring high load capacity, enhanced mechanical protection, and long-term thermal reliability.</t>
  </si>
  <si>
    <t>"Supply and laying of AC 3.5 Core x 120 sqmm Aluminium Armoured Cable (Apar / Polycab / RR Kabel / Havells make), XLPE insulated, PVC sheathed, heavy-duty cable suitable for LT power transmission in solar power plants. Provides excellent current-carrying capacity, mechanical strength, and durability for underground and outdoor installations under continuous operational loads.</t>
  </si>
  <si>
    <t>Supply and laying of AC 3.5 Core x 150 sqmm Aluminium Armoured Cable (Apar / Polycab / RR Kabel / Havells make), XLPE insulated, PVC sheathed, designed for LT power transmission in large-scale solar installations. Suitable for outdoor and underground applications, offering high current-carrying capacity, superior mechanical protection, and long-term thermal and electrical performance.</t>
  </si>
  <si>
    <t>Supply and laying of AC 3.5 Core x 185 sqmm Aluminium Armoured Cable (Apar / Polycab / RR Kabel / Havells make), XLPE insulated, PVC sheathed, heavy-duty cable suitable for LT power distribution in large-scale solar installations. Ensures high current-carrying capacity, robust mechanical protection, and reliable performance in outdoor and underground applications under continuous load.</t>
  </si>
  <si>
    <t>Supply and laying of AC 3.5 Core x 240 sqmm Aluminium Armoured Cable (Apar / Polycab / RR Kabel / Havells make), XLPE insulated, PVC sheathed, suitable for LT power transmission in large-capacity solar power plants. Designed for outdoor and underground applications, offering very high current-carrying capacity, excellent mechanical durability, and long-term thermal and electrical reliability.</t>
  </si>
  <si>
    <t>Supply and laying of AC 3.5 Core x 300 sqmm Aluminium Armoured Cable (Apar / Polycab / RR Kabel / Havells make), XLPE insulated, PVC sheathed, suitable for LT power transmission in utility-scale solar power plants. Engineered for high current-carrying capacity, robust mechanical protection, and reliable long-term performance in outdoor and underground installations.</t>
  </si>
  <si>
    <t>Supply and laying of Earth 1 Core x 2.5 sqmm Copper Cable, PVC insulated, single-core, suitable for grounding of solar PV modules and electrical equipment. Ensures efficient fault current dissipation and reliable earthing performance in solar power systems.</t>
  </si>
  <si>
    <t>Supply and laying of Earth 1 Core x 4.0 sqmm Copper Cable, PVC insulated, single-core, suitable for effective grounding of solar PV structures and equipment. Provides excellent conductivity, mechanical strength, and reliable fault current dissipation for enhanced system safety.</t>
  </si>
  <si>
    <t>Supply and laying of Earth 1 Core x 6.0 sqmm Copper Cable, PVC insulated, single-core, suitable for grounding of solar PV modules, structures, and electrical panels. Ensures superior conductivity, thermal stability, and reliable dissipation of fault currents, enhancing overall system safety</t>
  </si>
  <si>
    <t>Supply and laying of Earth 1 Core x 10 sqmm Copper Cable, PVC insulated, single-core, suitable for grounding of solar power equipment, structures, and LT panels. Offers high conductivity, durability, and effective fault current dissipation for enhanced system safety and performance.</t>
  </si>
  <si>
    <t>Supply and laying of Earth 1 Core x 16 sqmm Copper Flexible Cable, PVC insulated, suitable for grounding of solar power equipment and LT panels. Provides high conductivity, flexibility, and reliable fault current dissipation to ensure system protection and safety compliance.</t>
  </si>
  <si>
    <t>Supply and laying of Earth 1 Core x 16 sqmm Aluminium Flexible Cable, PVC insulated, suitable for earthing of solar structures and LT panels. Provides cost-effective grounding solution with adequate conductivity and flexibility for reliable fault current dissipation and system safety.</t>
  </si>
  <si>
    <t>Supply and installation of GI Earth Strip (Hot-Dip Galvanized), suitable for effective grounding of solar structures and electrical equipment. Ensures reliable fault current dissipation, corrosion resistance, and long-term performance as per electrical safety standards.</t>
  </si>
  <si>
    <t>GI Cable Tray (W) 50mm x(H)50mm x (T)3mm</t>
  </si>
  <si>
    <t>GI Cable Tray   (W) 75mmX(H) 25mmX(T) 3mm</t>
  </si>
  <si>
    <t>GI Cable Tray  (W) 100mm x(H)50mm x (T)3mm</t>
  </si>
  <si>
    <t>GI Cable Tray  (W) 150mmX(H) 50mmX (T) 3mm</t>
  </si>
  <si>
    <t>GI Cable Tray (W) 200mm x(H)50mm x (T)3mm</t>
  </si>
  <si>
    <t>GI Cable Tray  (W) 300mmX(H) 50mmX(T) 3mm</t>
  </si>
  <si>
    <t>Supply and installation of FRP Cable Tray, size 50mm (W) x 50mm (H) x 3mm (T) – FRP make, corrosion-resistant, UV-stabilized, and lightweight. Suitable for safe and durable routing of DC/AC cables in solar power installations under harsh outdoor conditions.</t>
  </si>
  <si>
    <t>Supply and installation of FRP Cable Tray, size 100mm (W) x 50mm (H) x 3mm (T) – FRP make, UV-resistant, corrosion-proof, and lightweight. Ideal for safe and organized routing of solar AC/DC cables in outdoor environments, ensuring long-term durability and electrical safety.</t>
  </si>
  <si>
    <t>Supply and installation of FRP Cable Tray, size 100mm (W) x 50mm (H) x 3mm (T), UV-resistant and corrosion-proof. Suitable for safe and durable routing of solar AC/DC cables in outdoor installations, offering long life and low maintenance.</t>
  </si>
  <si>
    <t>Supply and installation of FRP Cable Tray, size 150mm (W) x 50mm (H) x 3mm (T), made of fiber-reinforced plastic, UV-resistant and corrosion-proof. Ideal for structured and long-lasting cable management in solar installations under outdoor conditions.</t>
  </si>
  <si>
    <t>"Supply and installation of FRP Cable Tray, size 200mm (W) x 50mm (H) x 3mm (T), made from UV-resistant and corrosion-proof fiber-reinforced plastic. Designed for reliable and long-lasting support of AC/DC cable routing in solar power installations exposed to outdoor environments.</t>
  </si>
  <si>
    <t>Supply and installation of FRP Cable Tray, size 300mm (W) x 50mm (H) x 3mm (T), manufactured from fiber-reinforced plastic with high UV resistance and corrosion protection. Suitable for safe, durable, and organized routing of multiple AC/DC solar cables in outdoor environments.</t>
  </si>
  <si>
    <t>Supply and installation of GI Cable Tray, size 50mm (W) x 50mm (H) x 3mm (T), fabricated from hot-dip galvanized iron for corrosion resistance. Suitable for safe and structured routing of AC/DC solar cables in outdoor and industrial environments.</t>
  </si>
  <si>
    <t>Supply and installation of GI Cable Tray, size 75mm (W) x 25mm (H) x 3mm (T), made from hot-dip galvanized iron for enhanced corrosion resistance. Suitable for neat and durable routing of solar AC/DC cables in outdoor or industrial environments.</t>
  </si>
  <si>
    <t>Supply and installation of GI Cable Tray, size 100mm (W) x 50mm (H) x 3mm (T), fabricated from hot-dip galvanized iron, providing excellent corrosion resistance. Suitable for safe, durable, and organized routing of AC/DC cables in solar power installations.</t>
  </si>
  <si>
    <t>Supply and installation of GI Cable Tray, size 150mm (W) x 50mm (H) x 3mm (T), fabricated from hot-dip galvanized iron for superior corrosion resistance. Ideal for safe and organized routing of solar AC/DC cables in outdoor and industrial environments.</t>
  </si>
  <si>
    <t>Supply and installation of GI Cable Tray, size 200mm (W) x 50mm (H) x 3mm (T), made from hot-dip galvanized iron for excellent corrosion resistance and durability. Suitable for organized and secure routing of multiple AC/DC cables in solar power plant installations.</t>
  </si>
  <si>
    <t>Supply and installation of GI Cable Tray, size 300mm (W) x 50mm (H) x 3mm (T), fabricated from hot-dip galvanized iron for superior corrosion resistance. Suitable for safe and efficient routing of large volumes of AC/DC solar cables in outdoor and industrial environments.</t>
  </si>
  <si>
    <t>Supply and laying of 20mm PVC Conduit, ISI-marked, heavy-duty type, suitable for protection and routing of DC/AC cables in solar installations. UV-resistant and weatherproof for safe surface or concealed wiring in outdoor and indoor environments.</t>
  </si>
  <si>
    <t>Supply and laying of 25mm PVC Conduit, ISI-marked, heavy-duty, UV-resistant and weatherproof, suitable for safe routing and protection of AC/DC cables in rooftop and ground-mounted solar installations.</t>
  </si>
  <si>
    <t>Supply and laying of 35mm PVC Conduit, ISI-marked, heavy-duty, UV-resistant and weatherproof, suitable for secure routing and protection of multiple AC/DC cables in solar power installations, both rooftop and ground-mounted.</t>
  </si>
  <si>
    <t>Supply and installation of FRP Solar Walkway, size 272mm (W) x 3660mm (L) x 25mm (H), with mesh size 38mm x 38mm. Made from corrosion-resistant, UV-stabilized fiber-reinforced plastic, suitable for safe and durable access pathways between solar module rows on rooftops or ground-mounted structures.</t>
  </si>
  <si>
    <t>Supply and installation of FRP Solar Walkway, size 310mm (W) x 3660mm (L) x 25mm (H), with mesh size 38mm x 38mm. Manufactured from UV-resistant, corrosion-proof fiber-reinforced plastic, designed to provide safe, durable, and non-slip access between solar panel rows in rooftop or ground-mounted solar installations.</t>
  </si>
  <si>
    <t>Supply and installation of MC4 connectors, UV-resistant and IP67-rated, suitable for secure and weatherproof DC cable connections in solar PV systems. Ensures reliable plug-and-play connectivity between solar modules and string cables with minimal power loss.</t>
  </si>
  <si>
    <t>Supply and laying of DC 1 Core x 6.0 sqmm copper flexible cable (Apar / Polycab / RR Kabel / Havells make), XLPE insulated, UV and weather resistant, suitable for interconnection of solar PV modules and DC circuits. Ensures high conductivity, low voltage drop, and long-term outdoor durability.</t>
  </si>
  <si>
    <t>ITEM TYPE</t>
  </si>
  <si>
    <t>MS MATERIAL</t>
  </si>
  <si>
    <t>SS 304 MATERIAL</t>
  </si>
  <si>
    <t>Supply and installation of MS Base Plate, size 125mm x 125mm x 3mm thickness (MS make), fabricated from mild steel with anti-corrosive coating. Suitable for mounting and anchoring of solar module structures on various surfaces.</t>
  </si>
  <si>
    <t>Supply and installation of MS Base Plate, size 150mm x 150mm x 4mm thickness (MS make), made from high-quality mild steel with anti-corrosive coating. Used for secure mounting of solar module support structures on RCC or other foundations.</t>
  </si>
  <si>
    <t>Supply and installation of J Bolt – size 40mm x 40mm (SS 304 make), manufactured from high-strength galvanized steel. Suitable for anchoring solar mounting structures securely to RCC rooftops or foundations, ensuring structural stability.</t>
  </si>
  <si>
    <t>Supply and installation of J Bolt – size 60mm x 40mm (SS 304 make), manufactured from high-strength galvanized steel. Suitable for anchoring solar mounting structures securely to RCC rooftops or foundations, ensuring structural stability.</t>
  </si>
  <si>
    <t>Supply and installation of Wedge Anchor Bolt (SS 304 make), heavy-duty, galvanized steel fastener suitable for anchoring solar mounting structures to RCC surfaces. Provides high pull-out strength, durability, and long-term structural stability in rooftop solar installations.</t>
  </si>
  <si>
    <t>MCB - SCHNEIDER / LK (L&amp;T)
MCCB - SCHNEIDER / LK (L&amp;T)
CONTACTOR - SCHNEIDER / LK (L&amp;T)
NVR - STANDERD
SPP - GIC
SPD - FINDER
MMF METER - SECURE
ENCLOSER - (Note - ABS used till 50-60 kW)</t>
  </si>
  <si>
    <t xml:space="preserve">MCB - SCHNEIDER / LK (L&amp;T)
MCCB - SCHNEIDER / LK (L&amp;T)
CONTACTOR - SCHNEIDER / LK (L&amp;T)
SPD - FINDER
ENCLOSER - (Note - ABS used till 50-60 kW)
</t>
  </si>
  <si>
    <t>MCB - SCHNEIDER / LK (L&amp;T)
MCCB - SCHNEIDER / LK (L&amp;T)
CONTACTOR - SCHNEIDER / LK (L&amp;T)
NVR - STANDERD
SPD - FINDER
ENCLOSER - (Note - ABS used till 50-60 kW)</t>
  </si>
  <si>
    <t>MCB - SCHNEIDER / LK (L&amp;T)
MCCB - SCHNEIDER / LK (L&amp;T)
CONTACTOR - SCHNEIDER / LK (L&amp;T)
NVR - STANDERD
SPP - GIC
SPD - FINDER
ENCLOSER - (Note - ABS used till 50-60 kW)</t>
  </si>
  <si>
    <t xml:space="preserve">SPD - FNDER
FUSE - </t>
  </si>
  <si>
    <t>DC MCB - SCHNEIDER / LK (L&amp;T)
SPD - FINDER</t>
  </si>
  <si>
    <t>FUSE - STANDERD
DC MCB - SCHNEIDER / LK (L&amp;T)
SPD - FINDER</t>
  </si>
  <si>
    <t>FUSE - STANDERD</t>
  </si>
  <si>
    <t>AS PER ISI STANDERD MENUFACTURER</t>
  </si>
  <si>
    <t>6 STAGE PROTECTION + MMF METER</t>
  </si>
  <si>
    <t>4 STAGE PROTECTION</t>
  </si>
  <si>
    <t>5 STAGE PROTECTION</t>
  </si>
  <si>
    <t>6 STAGE PROTECTION ( W/O MMF METER )</t>
  </si>
  <si>
    <t>2 STAGE PROTECTION</t>
  </si>
  <si>
    <t>3 STAGE PROTECTION</t>
  </si>
  <si>
    <t>SINGLE STAGE PROTECTION</t>
  </si>
  <si>
    <t>60 Micrones Hot Dip Galvanized (GI) pipes with 2MM Thickness are steel pipes coated with a layer of zinc through a hot-dip process, providing superior corrosion resistance and long-term durability. These pipes are commonly used in solar mounting structures due to their strength, weather resistance, and maintenance-free performance. Ideal for outdoor solar installations, GI pipes ensure structural stability and extended service life in diverse environmental conditions.</t>
  </si>
  <si>
    <t>RCC Foundation Block – 400x400x400 mm, M25 grade concrete</t>
  </si>
  <si>
    <t>HTSS SCOPE</t>
  </si>
  <si>
    <t>Wp</t>
  </si>
  <si>
    <t>Value</t>
  </si>
  <si>
    <t>Notes</t>
  </si>
  <si>
    <t>Project Capacity</t>
  </si>
  <si>
    <t>Installation Cost</t>
  </si>
  <si>
    <t>Average Daily Generation</t>
  </si>
  <si>
    <t>Electricity Tariff (Year 1)</t>
  </si>
  <si>
    <t>Tariff Escalation</t>
  </si>
  <si>
    <t>O&amp;M Cost (Year 1)</t>
  </si>
  <si>
    <t>O&amp;M Cost Escalation</t>
  </si>
  <si>
    <t>kw</t>
  </si>
  <si>
    <t>₹</t>
  </si>
  <si>
    <t>%</t>
  </si>
  <si>
    <t>Years</t>
  </si>
  <si>
    <t>Project Life</t>
  </si>
  <si>
    <t>Size of plant</t>
  </si>
  <si>
    <t>Total EPC cost</t>
  </si>
  <si>
    <t>Based on site data</t>
  </si>
  <si>
    <t>Current grid rate</t>
  </si>
  <si>
    <t>Expected yearly increase</t>
  </si>
  <si>
    <t>Maintenance cost</t>
  </si>
  <si>
    <t>Inflation in O&amp;M</t>
  </si>
  <si>
    <t>Standard for solar</t>
  </si>
  <si>
    <t>ROI Calculation Table</t>
  </si>
  <si>
    <t>Solar Plant ROI Calculator (Input Parameters)</t>
  </si>
  <si>
    <t>Year</t>
  </si>
  <si>
    <t>Generation (kWh)</t>
  </si>
  <si>
    <t>Tariff (₹/kWh)</t>
  </si>
  <si>
    <t>Annual Revenue (₹)</t>
  </si>
  <si>
    <t>O&amp;M Cost (₹)</t>
  </si>
  <si>
    <t>Net Savings (₹)</t>
  </si>
  <si>
    <t>Cumulative Savings (₹)</t>
  </si>
  <si>
    <t>Payback Status</t>
  </si>
  <si>
    <t>Annual Power Degradation
(From 3rd Year to 30 Years)</t>
  </si>
  <si>
    <t>Annual Power Degradation
(After 1st Year)</t>
  </si>
  <si>
    <t>Graphical Representation Of Yearly Generation V/S Tariff</t>
  </si>
  <si>
    <t>Graphical Representation of Annual V/S Cumulative Savings</t>
  </si>
  <si>
    <r>
      <t xml:space="preserve">Module efficiency drop
</t>
    </r>
    <r>
      <rPr>
        <sz val="10"/>
        <color theme="1"/>
        <rFont val="Times New Roman"/>
        <family val="1"/>
      </rPr>
      <t>(As per Modul Data Sheet)</t>
    </r>
  </si>
  <si>
    <t>Kwh/Kwp/day</t>
  </si>
  <si>
    <t>₹/Kwh</t>
  </si>
  <si>
    <t>Adani / VIKRAM SOLAR</t>
  </si>
  <si>
    <t>ACDB - MCB+SPD</t>
  </si>
  <si>
    <t>MCB - SCHNEIDER / LK (L&amp;T)
SPD - FINDER
ENCLOSER - (Note - ABS used till 50-60 kW)</t>
  </si>
  <si>
    <t>The AC Distribution Box (ACDB) is a vital component for managing and protecting the AC output from the solar inverter. It is equipped with:
MCB &amp; MCCB for short-circuit and overload protection
SPD (Surge Protection Device) to guard against voltage surges
This fully integrated ACDB ensures safe, stable, and efficient operation of solar power systems, suitable for residential, commercial, and industrial applications.</t>
  </si>
  <si>
    <t xml:space="preserve"> - MCB+SPD</t>
  </si>
  <si>
    <t>30 years</t>
  </si>
  <si>
    <t>Mr. Husain Kotawala</t>
  </si>
  <si>
    <t xml:space="preserve">MONO FACIAL MODULES </t>
  </si>
  <si>
    <t>High-efficiency Monocrystalline Mono Facial Solar PV Module with advanced PERC/half-cut cell technology, durable aluminium frame, tempered glass protection, superior low-light performance, IEC certified, with 25 years performance warranty.</t>
  </si>
  <si>
    <t>GST (6%)</t>
  </si>
  <si>
    <t>South Facing, 14° Tilt , Portrait orientation</t>
  </si>
  <si>
    <t>Wind Speed Resistance as per IS 875: up to 120 kmph</t>
  </si>
  <si>
    <t>Average Yearly Shutdown</t>
  </si>
  <si>
    <t>Days</t>
  </si>
  <si>
    <t>Plant Maintenace,Grid Side Maintenace,or any Emergancy Shutdowns</t>
  </si>
  <si>
    <t>INV - 20KW HYBRID</t>
  </si>
  <si>
    <t>PURE</t>
  </si>
  <si>
    <t>Capacity-20 kVA
Backup time-Up to 18 hours *
Standard Warranty-5 years
Advanced thermal management system-Yes
OUTPUT
AC Voltage Regulation (Battery Mode)-415VAC ± 5%
Surge Power-36000VA
Efficiency (Peak)-&gt;97%
Switching Modes-On Grid /Off Grid/Hybrid(Optional)
Solar Connection-Off Grid/Hybrid
Battery Cell Technology-Lithium Ion
Qty. of Batteries-5
Nominal Voltage-48V
Battery Capacity-20 kWh</t>
  </si>
  <si>
    <t xml:space="preserve">KANBERY / FLEXGUARD / GEONOM </t>
  </si>
  <si>
    <t>10 Days from date of issue.</t>
  </si>
  <si>
    <t>Units/Day/Kw (Generation Guarantee Up to 90%)</t>
  </si>
  <si>
    <t>PAHAL SOLAR</t>
  </si>
  <si>
    <t xml:space="preserve">INV - 25 KW </t>
  </si>
  <si>
    <t>GOODWE</t>
  </si>
  <si>
    <t>· Max. 21A input current per string
· Up to 180% PV input oversizing
· Wide MPPT voltage range
· In-built Type II SPD on AC &amp; DC sides1
· AI-driven AFCI
· Mixed parallel connection with GoodWe
SDT G3 Series
· Easy parallel through GoodWe smart
dongle Ezlink3000
· Lightweight design for easy installation
· Quiet operation under 45dB</t>
  </si>
  <si>
    <t>600WP</t>
  </si>
  <si>
    <t>5 years from Manufacturer</t>
  </si>
  <si>
    <t>ADANI</t>
  </si>
  <si>
    <t>Maximum AC power of 15 kW, a nominal AC power of 10 kW, and a maximum efficiency of 97 %</t>
  </si>
  <si>
    <t>8 - 10 Weeks from Advance and Site Readiness</t>
  </si>
  <si>
    <t>630WP TOPCON BI - FACIAL PV MODULE</t>
  </si>
  <si>
    <t>INV - 15 KW</t>
  </si>
  <si>
    <t>SOLARYAAN</t>
  </si>
  <si>
    <t>10 ft At South , 8 Ft At North</t>
  </si>
  <si>
    <t>PAHAL</t>
  </si>
  <si>
    <t>LAND 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</si>
</sst>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4009]\ * #,##0.00_ ;_ [$₹-4009]\ * \-#,##0.00_ ;_ [$₹-4009]\ * &quot;-&quot;??_ ;_ @_ "/>
    <numFmt numFmtId="165" formatCode="_(* #,##0_);_(* \(#,##0\);_(* &quot;-&quot;??_);_(@_)"/>
    <numFmt numFmtId="166" formatCode="0.0"/>
    <numFmt numFmtId="167" formatCode="&quot;₹&quot;\ #,##0"/>
    <numFmt numFmtId="168" formatCode="_ [$₹-4009]\ * #,##0_ ;_ [$₹-4009]\ * \-#,##0_ ;_ [$₹-4009]\ * &quot;-&quot;??_ ;_ @_ "/>
    <numFmt numFmtId="169" formatCode="0.0%"/>
    <numFmt numFmtId="170" formatCode="_ &quot;₹&quot;\ * #,##0.0_ ;_ &quot;₹&quot;\ * \-#,##0.0_ ;_ &quot;₹&quot;\ * &quot;-&quot;??_ ;_ @_ "/>
    <numFmt numFmtId="171" formatCode="&quot;₹&quot;\ #,##0.00"/>
  </numFmts>
  <fonts count="50" x14ac:knownFonts="1">
    <font>
      <sz val="11"/>
      <color theme="1"/>
      <name val="Calibri"/>
      <family val="2"/>
      <scheme val="minor"/>
    </font>
    <font>
      <sz val="11"/>
      <color theme="1"/>
      <name val="Times New Roman"/>
      <family val="1"/>
    </font>
    <font>
      <b/>
      <sz val="11"/>
      <color theme="1"/>
      <name val="Times New Roman"/>
      <family val="1"/>
    </font>
    <font>
      <sz val="10"/>
      <color theme="1"/>
      <name val="Times New Roman"/>
      <family val="1"/>
    </font>
    <font>
      <b/>
      <sz val="10"/>
      <color theme="1"/>
      <name val="Times New Roman"/>
      <family val="1"/>
    </font>
    <font>
      <sz val="11"/>
      <color theme="1"/>
      <name val="Book Antiqua"/>
      <family val="1"/>
    </font>
    <font>
      <sz val="10"/>
      <color theme="1"/>
      <name val="Book Antiqua"/>
      <family val="1"/>
    </font>
    <font>
      <b/>
      <sz val="12"/>
      <color theme="1"/>
      <name val="Times New Roman"/>
      <family val="1"/>
    </font>
    <font>
      <sz val="11"/>
      <color rgb="FFFF0000"/>
      <name val="Times New Roman"/>
      <family val="1"/>
    </font>
    <font>
      <b/>
      <sz val="11"/>
      <color rgb="FFFF0000"/>
      <name val="Times New Roman"/>
      <family val="1"/>
    </font>
    <font>
      <b/>
      <sz val="14"/>
      <color theme="1"/>
      <name val="Book Antiqua"/>
      <family val="1"/>
    </font>
    <font>
      <sz val="11"/>
      <color theme="1"/>
      <name val="Calibri"/>
      <family val="2"/>
      <scheme val="minor"/>
    </font>
    <font>
      <b/>
      <sz val="9"/>
      <color theme="1"/>
      <name val="Times New Roman"/>
      <family val="1"/>
    </font>
    <font>
      <sz val="9"/>
      <color theme="1"/>
      <name val="Book Antiqua"/>
      <family val="1"/>
    </font>
    <font>
      <b/>
      <sz val="8"/>
      <color theme="1"/>
      <name val="Times New Roman"/>
      <family val="1"/>
    </font>
    <font>
      <sz val="9"/>
      <color theme="1"/>
      <name val="Times New Roman"/>
      <family val="1"/>
    </font>
    <font>
      <b/>
      <u/>
      <sz val="11"/>
      <color rgb="FFFF0000"/>
      <name val="Times New Roman"/>
      <family val="1"/>
    </font>
    <font>
      <sz val="8"/>
      <name val="Calibri"/>
      <family val="2"/>
      <scheme val="minor"/>
    </font>
    <font>
      <b/>
      <sz val="11"/>
      <name val="Times New Roman"/>
      <family val="1"/>
    </font>
    <font>
      <u/>
      <sz val="8"/>
      <color theme="1"/>
      <name val="Times New Roman"/>
      <family val="1"/>
    </font>
    <font>
      <u/>
      <sz val="9"/>
      <color theme="1"/>
      <name val="Times New Roman"/>
      <family val="1"/>
    </font>
    <font>
      <b/>
      <sz val="11"/>
      <color rgb="FFFF0000"/>
      <name val="Book Antiqua"/>
      <family val="1"/>
    </font>
    <font>
      <b/>
      <sz val="11"/>
      <color rgb="FFFF0000"/>
      <name val="Calibri"/>
      <family val="2"/>
      <scheme val="minor"/>
    </font>
    <font>
      <sz val="9"/>
      <color theme="1"/>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
      <b/>
      <sz val="36"/>
      <color theme="1"/>
      <name val="Bookman Old Style"/>
      <family val="1"/>
    </font>
    <font>
      <b/>
      <sz val="36"/>
      <color theme="8"/>
      <name val="Bookman Old Style"/>
      <family val="1"/>
    </font>
    <font>
      <b/>
      <sz val="36"/>
      <color theme="5"/>
      <name val="Bookman Old Style"/>
      <family val="1"/>
    </font>
    <font>
      <b/>
      <sz val="16"/>
      <color theme="1"/>
      <name val="Book Antiqua"/>
      <family val="1"/>
    </font>
    <font>
      <b/>
      <sz val="22"/>
      <color rgb="FFFF0000"/>
      <name val="Bookman Old Style"/>
      <family val="1"/>
    </font>
    <font>
      <b/>
      <sz val="12"/>
      <color theme="1"/>
      <name val="Microsoft Yi Baiti"/>
      <family val="4"/>
    </font>
    <font>
      <b/>
      <u/>
      <sz val="22"/>
      <color rgb="FFFF0000"/>
      <name val="Bookman Old Style"/>
      <family val="1"/>
    </font>
    <font>
      <sz val="14"/>
      <color theme="1"/>
      <name val="Calibri Light"/>
      <family val="2"/>
      <scheme val="major"/>
    </font>
    <font>
      <sz val="14"/>
      <name val="Calibri Light"/>
      <family val="2"/>
      <scheme val="major"/>
    </font>
    <font>
      <sz val="10.75"/>
      <color theme="1"/>
      <name val="Times New Roman"/>
      <family val="1"/>
    </font>
    <font>
      <b/>
      <sz val="10.75"/>
      <color theme="1"/>
      <name val="Times New Roman"/>
      <family val="1"/>
    </font>
    <font>
      <sz val="8"/>
      <color theme="1"/>
      <name val="Times New Roman"/>
      <family val="1"/>
    </font>
    <font>
      <sz val="11"/>
      <color theme="1"/>
      <name val="Cambria"/>
      <family val="1"/>
    </font>
    <font>
      <b/>
      <u/>
      <sz val="11"/>
      <color theme="1"/>
      <name val="Times New Roman"/>
      <family val="1"/>
    </font>
    <font>
      <sz val="11"/>
      <name val="Times New Roman"/>
      <family val="1"/>
    </font>
    <font>
      <b/>
      <u/>
      <sz val="11"/>
      <name val="Times New Roman"/>
      <family val="1"/>
    </font>
    <font>
      <u/>
      <sz val="11"/>
      <name val="Times New Roman"/>
      <family val="1"/>
    </font>
    <font>
      <b/>
      <sz val="14"/>
      <name val="Calibri Light"/>
      <family val="2"/>
      <scheme val="major"/>
    </font>
    <font>
      <b/>
      <sz val="14"/>
      <color theme="1"/>
      <name val="Calibri Light"/>
      <family val="2"/>
      <scheme val="major"/>
    </font>
    <font>
      <b/>
      <sz val="11"/>
      <color theme="1"/>
      <name val="Book Antiqua"/>
      <family val="1"/>
    </font>
    <font>
      <sz val="9"/>
      <name val="Times New Roman"/>
      <family val="1"/>
    </font>
    <font>
      <sz val="9.5"/>
      <color theme="1"/>
      <name val="Times New Roman"/>
      <family val="1"/>
    </font>
  </fonts>
  <fills count="9">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8" tint="0.59999389629810485"/>
        <bgColor indexed="64"/>
      </patternFill>
    </fill>
  </fills>
  <borders count="42">
    <border>
      <left/>
      <right/>
      <top/>
      <bottom/>
      <diagonal/>
    </border>
    <border>
      <left style="thin">
        <color indexed="64"/>
      </left>
      <right/>
      <top/>
      <bottom/>
      <diagonal/>
    </border>
    <border>
      <left/>
      <right style="thin">
        <color indexed="64"/>
      </right>
      <top/>
      <bottom/>
      <diagonal/>
    </border>
    <border>
      <left/>
      <right/>
      <top/>
      <bottom style="double">
        <color indexed="64"/>
      </bottom>
      <diagonal/>
    </border>
    <border>
      <left/>
      <right/>
      <top style="thin">
        <color indexed="64"/>
      </top>
      <bottom style="double">
        <color indexed="64"/>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medium">
        <color indexed="64"/>
      </top>
      <bottom/>
      <diagonal/>
    </border>
    <border>
      <left/>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right/>
      <top style="double">
        <color indexed="64"/>
      </top>
      <bottom style="thin">
        <color indexed="64"/>
      </bottom>
      <diagonal/>
    </border>
  </borders>
  <cellStyleXfs count="2">
    <xf numFmtId="0" fontId="0" fillId="0" borderId="0"/>
    <xf numFmtId="43" fontId="11" fillId="0" borderId="0" applyFont="0" applyFill="0" applyBorder="0" applyAlignment="0" applyProtection="0"/>
  </cellStyleXfs>
  <cellXfs count="348">
    <xf numFmtId="0" fontId="0" fillId="0" borderId="0" xfId="0"/>
    <xf numFmtId="0" fontId="1" fillId="0" borderId="0" xfId="0" applyFont="1"/>
    <xf numFmtId="0" fontId="3" fillId="0" borderId="0" xfId="0" applyFont="1" applyAlignment="1">
      <alignment vertical="center"/>
    </xf>
    <xf numFmtId="0" fontId="0" fillId="0" borderId="0" xfId="0" applyAlignment="1">
      <alignment horizontal="left"/>
    </xf>
    <xf numFmtId="0" fontId="5" fillId="0" borderId="0" xfId="0" applyFont="1" applyAlignment="1">
      <alignment vertical="center"/>
    </xf>
    <xf numFmtId="0" fontId="0" fillId="0" borderId="6" xfId="0" applyBorder="1"/>
    <xf numFmtId="0" fontId="7" fillId="0" borderId="7" xfId="0" applyFont="1" applyBorder="1" applyAlignment="1">
      <alignment horizontal="center" vertical="center"/>
    </xf>
    <xf numFmtId="0" fontId="0" fillId="0" borderId="5" xfId="0" applyBorder="1"/>
    <xf numFmtId="0" fontId="0" fillId="0" borderId="0" xfId="0" applyAlignment="1">
      <alignment vertical="center"/>
    </xf>
    <xf numFmtId="0" fontId="0" fillId="0" borderId="7" xfId="0" applyBorder="1"/>
    <xf numFmtId="165" fontId="2" fillId="3" borderId="1" xfId="0" applyNumberFormat="1" applyFont="1" applyFill="1" applyBorder="1" applyAlignment="1">
      <alignment horizontal="center" vertical="center" wrapText="1"/>
    </xf>
    <xf numFmtId="165" fontId="2" fillId="3" borderId="0" xfId="0" applyNumberFormat="1" applyFont="1" applyFill="1" applyAlignment="1">
      <alignment horizontal="center" vertical="center" wrapText="1"/>
    </xf>
    <xf numFmtId="49" fontId="0" fillId="0" borderId="0" xfId="0" applyNumberFormat="1"/>
    <xf numFmtId="166" fontId="0" fillId="0" borderId="0" xfId="0" applyNumberFormat="1"/>
    <xf numFmtId="2" fontId="0" fillId="0" borderId="0" xfId="0" applyNumberFormat="1"/>
    <xf numFmtId="1" fontId="0" fillId="0" borderId="0" xfId="0" applyNumberFormat="1"/>
    <xf numFmtId="0" fontId="1" fillId="0" borderId="0" xfId="0" applyFont="1" applyAlignment="1">
      <alignment horizontal="left" vertical="center" wrapText="1"/>
    </xf>
    <xf numFmtId="9" fontId="0" fillId="0" borderId="0" xfId="0" applyNumberFormat="1"/>
    <xf numFmtId="1" fontId="5" fillId="0" borderId="0" xfId="0" applyNumberFormat="1" applyFont="1" applyAlignment="1">
      <alignment horizontal="left" vertical="center"/>
    </xf>
    <xf numFmtId="0" fontId="0" fillId="2" borderId="7" xfId="0" applyFill="1" applyBorder="1"/>
    <xf numFmtId="9" fontId="0" fillId="0" borderId="7" xfId="0" applyNumberFormat="1" applyBorder="1"/>
    <xf numFmtId="2" fontId="0" fillId="0" borderId="7" xfId="0" applyNumberFormat="1" applyBorder="1"/>
    <xf numFmtId="0" fontId="0" fillId="0" borderId="11" xfId="0" applyBorder="1"/>
    <xf numFmtId="0" fontId="2" fillId="0" borderId="13" xfId="0" applyFont="1" applyBorder="1" applyAlignment="1">
      <alignment horizontal="center" vertical="center"/>
    </xf>
    <xf numFmtId="0" fontId="2" fillId="0" borderId="14" xfId="0" applyFont="1" applyBorder="1" applyAlignment="1">
      <alignment horizontal="center" vertical="center"/>
    </xf>
    <xf numFmtId="1" fontId="0" fillId="0" borderId="7" xfId="0" applyNumberFormat="1" applyBorder="1"/>
    <xf numFmtId="1" fontId="0" fillId="0" borderId="7" xfId="0" applyNumberFormat="1" applyBorder="1" applyAlignment="1">
      <alignment horizontal="left" vertical="center"/>
    </xf>
    <xf numFmtId="1" fontId="0" fillId="2" borderId="7" xfId="0" applyNumberFormat="1" applyFill="1" applyBorder="1"/>
    <xf numFmtId="1" fontId="0" fillId="0" borderId="11" xfId="0" applyNumberFormat="1" applyBorder="1"/>
    <xf numFmtId="0" fontId="2" fillId="0" borderId="33" xfId="0" applyFont="1" applyBorder="1" applyAlignment="1">
      <alignment horizontal="center" vertical="center"/>
    </xf>
    <xf numFmtId="164" fontId="0" fillId="0" borderId="0" xfId="0" applyNumberFormat="1"/>
    <xf numFmtId="0" fontId="1" fillId="0" borderId="31" xfId="0" applyFont="1" applyBorder="1" applyAlignment="1">
      <alignment vertical="center" wrapText="1"/>
    </xf>
    <xf numFmtId="0" fontId="0" fillId="0" borderId="2" xfId="0" applyBorder="1"/>
    <xf numFmtId="0" fontId="0" fillId="0" borderId="0" xfId="0" applyAlignment="1">
      <alignment horizontal="center" vertical="center" wrapText="1"/>
    </xf>
    <xf numFmtId="0" fontId="0" fillId="0" borderId="0" xfId="0" applyAlignment="1">
      <alignment horizontal="center" vertical="center"/>
    </xf>
    <xf numFmtId="2" fontId="0" fillId="0" borderId="0" xfId="0" applyNumberFormat="1" applyAlignment="1">
      <alignment horizontal="center" vertical="center"/>
    </xf>
    <xf numFmtId="10" fontId="0" fillId="0" borderId="0" xfId="0" applyNumberFormat="1" applyAlignment="1">
      <alignment horizontal="center" vertical="center"/>
    </xf>
    <xf numFmtId="170" fontId="0" fillId="0" borderId="0" xfId="0" applyNumberFormat="1" applyAlignment="1">
      <alignment horizontal="center" vertical="center"/>
    </xf>
    <xf numFmtId="0" fontId="0" fillId="0" borderId="7" xfId="0"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5" borderId="14" xfId="0" applyFill="1" applyBorder="1" applyAlignment="1">
      <alignment horizontal="center" vertical="center" wrapText="1"/>
    </xf>
    <xf numFmtId="167" fontId="0" fillId="5" borderId="7" xfId="0" applyNumberFormat="1" applyFill="1" applyBorder="1" applyAlignment="1">
      <alignment horizontal="center" vertical="center"/>
    </xf>
    <xf numFmtId="167" fontId="0" fillId="5" borderId="19" xfId="0" applyNumberFormat="1" applyFill="1" applyBorder="1" applyAlignment="1">
      <alignment horizontal="center" vertical="center"/>
    </xf>
    <xf numFmtId="0" fontId="0" fillId="5" borderId="7" xfId="0" applyFill="1" applyBorder="1" applyAlignment="1">
      <alignment horizontal="center" vertical="center"/>
    </xf>
    <xf numFmtId="2" fontId="0" fillId="5" borderId="7" xfId="0" applyNumberFormat="1" applyFill="1" applyBorder="1" applyAlignment="1">
      <alignment horizontal="center" vertical="center"/>
    </xf>
    <xf numFmtId="169" fontId="0" fillId="5" borderId="7" xfId="0" applyNumberFormat="1" applyFill="1" applyBorder="1" applyAlignment="1">
      <alignment horizontal="center" vertical="center"/>
    </xf>
    <xf numFmtId="0" fontId="0" fillId="5" borderId="19" xfId="0" applyFill="1" applyBorder="1" applyAlignment="1">
      <alignment horizontal="center" vertical="center"/>
    </xf>
    <xf numFmtId="2" fontId="0" fillId="5" borderId="19" xfId="0" applyNumberFormat="1" applyFill="1" applyBorder="1" applyAlignment="1">
      <alignment horizontal="center" vertical="center"/>
    </xf>
    <xf numFmtId="169" fontId="0" fillId="5" borderId="19" xfId="0" applyNumberFormat="1" applyFill="1" applyBorder="1" applyAlignment="1">
      <alignment horizontal="center" vertical="center"/>
    </xf>
    <xf numFmtId="0" fontId="0" fillId="6" borderId="14" xfId="0" applyFill="1" applyBorder="1" applyAlignment="1">
      <alignment horizontal="center" vertical="center" wrapText="1"/>
    </xf>
    <xf numFmtId="0" fontId="0" fillId="6" borderId="15" xfId="0" applyFill="1" applyBorder="1" applyAlignment="1">
      <alignment horizontal="center" vertical="center" wrapText="1"/>
    </xf>
    <xf numFmtId="0" fontId="0" fillId="6" borderId="7" xfId="0" applyFill="1" applyBorder="1" applyAlignment="1">
      <alignment horizontal="center" vertical="center"/>
    </xf>
    <xf numFmtId="2" fontId="0" fillId="6" borderId="7" xfId="0" applyNumberFormat="1" applyFill="1" applyBorder="1" applyAlignment="1">
      <alignment horizontal="center" vertical="center"/>
    </xf>
    <xf numFmtId="167" fontId="0" fillId="6" borderId="7" xfId="0" applyNumberFormat="1" applyFill="1" applyBorder="1" applyAlignment="1">
      <alignment horizontal="center" vertical="center"/>
    </xf>
    <xf numFmtId="169" fontId="0" fillId="6" borderId="7" xfId="0" applyNumberFormat="1" applyFill="1" applyBorder="1" applyAlignment="1">
      <alignment horizontal="center" vertical="center"/>
    </xf>
    <xf numFmtId="167" fontId="0" fillId="6" borderId="17" xfId="0" applyNumberFormat="1" applyFill="1" applyBorder="1" applyAlignment="1">
      <alignment horizontal="center" vertical="center"/>
    </xf>
    <xf numFmtId="0" fontId="0" fillId="6" borderId="19" xfId="0" applyFill="1" applyBorder="1" applyAlignment="1">
      <alignment horizontal="center" vertical="center"/>
    </xf>
    <xf numFmtId="2" fontId="0" fillId="6" borderId="19" xfId="0" applyNumberFormat="1" applyFill="1" applyBorder="1" applyAlignment="1">
      <alignment horizontal="center" vertical="center"/>
    </xf>
    <xf numFmtId="167" fontId="0" fillId="6" borderId="19" xfId="0" applyNumberFormat="1" applyFill="1" applyBorder="1" applyAlignment="1">
      <alignment horizontal="center" vertical="center"/>
    </xf>
    <xf numFmtId="169" fontId="0" fillId="6" borderId="19" xfId="0" applyNumberFormat="1" applyFill="1" applyBorder="1" applyAlignment="1">
      <alignment horizontal="center" vertical="center"/>
    </xf>
    <xf numFmtId="167" fontId="0" fillId="6" borderId="20" xfId="0" applyNumberFormat="1" applyFill="1" applyBorder="1" applyAlignment="1">
      <alignment horizontal="center" vertical="center"/>
    </xf>
    <xf numFmtId="49" fontId="22" fillId="0" borderId="0" xfId="0" applyNumberFormat="1" applyFont="1"/>
    <xf numFmtId="9" fontId="0" fillId="0" borderId="11" xfId="0" applyNumberFormat="1" applyBorder="1"/>
    <xf numFmtId="2" fontId="0" fillId="0" borderId="11" xfId="0" applyNumberFormat="1" applyBorder="1"/>
    <xf numFmtId="0" fontId="4" fillId="4" borderId="7" xfId="0" applyFont="1" applyFill="1" applyBorder="1" applyAlignment="1">
      <alignment horizontal="center" vertical="center"/>
    </xf>
    <xf numFmtId="0" fontId="4" fillId="4" borderId="7" xfId="0" applyFont="1" applyFill="1" applyBorder="1" applyAlignment="1">
      <alignment horizontal="center" vertical="center" wrapText="1"/>
    </xf>
    <xf numFmtId="0" fontId="23" fillId="0" borderId="7" xfId="0" applyFont="1" applyBorder="1" applyAlignment="1">
      <alignment horizontal="center" vertical="center" wrapText="1"/>
    </xf>
    <xf numFmtId="0" fontId="15" fillId="0" borderId="7" xfId="0" applyFont="1" applyBorder="1" applyAlignment="1">
      <alignment horizontal="center" vertical="center"/>
    </xf>
    <xf numFmtId="2" fontId="15" fillId="0" borderId="7" xfId="0" applyNumberFormat="1" applyFont="1" applyBorder="1" applyAlignment="1">
      <alignment horizontal="center" vertical="center"/>
    </xf>
    <xf numFmtId="0" fontId="25" fillId="0" borderId="0" xfId="0" applyFont="1" applyAlignment="1">
      <alignment vertical="center"/>
    </xf>
    <xf numFmtId="0" fontId="26" fillId="0" borderId="0" xfId="0" applyFont="1" applyAlignment="1">
      <alignment vertical="center"/>
    </xf>
    <xf numFmtId="0" fontId="0" fillId="0" borderId="0" xfId="0" applyAlignment="1">
      <alignment horizontal="left" vertical="center" indent="1"/>
    </xf>
    <xf numFmtId="0" fontId="24" fillId="0" borderId="0" xfId="0" applyFont="1" applyAlignment="1">
      <alignment horizontal="left" vertical="center" indent="1"/>
    </xf>
    <xf numFmtId="0" fontId="24" fillId="0" borderId="0" xfId="0" applyFont="1" applyAlignment="1">
      <alignment horizontal="center" vertical="center" wrapText="1"/>
    </xf>
    <xf numFmtId="0" fontId="0" fillId="0" borderId="0" xfId="0" applyAlignment="1">
      <alignment vertical="center" wrapText="1"/>
    </xf>
    <xf numFmtId="0" fontId="21" fillId="0" borderId="0" xfId="0" applyFont="1" applyAlignment="1">
      <alignment horizontal="center" vertical="center"/>
    </xf>
    <xf numFmtId="0" fontId="21" fillId="0" borderId="0" xfId="0" applyFont="1" applyAlignment="1">
      <alignment horizontal="left" vertical="center" wrapText="1"/>
    </xf>
    <xf numFmtId="0" fontId="1" fillId="0" borderId="0" xfId="0" applyFont="1" applyAlignment="1">
      <alignment vertical="center" wrapText="1"/>
    </xf>
    <xf numFmtId="0" fontId="32" fillId="0" borderId="0" xfId="0" applyFont="1" applyAlignment="1">
      <alignment horizontal="left" vertical="center" wrapText="1"/>
    </xf>
    <xf numFmtId="2" fontId="32" fillId="0" borderId="0" xfId="0" applyNumberFormat="1" applyFont="1" applyAlignment="1">
      <alignment horizontal="right" vertical="center" wrapText="1"/>
    </xf>
    <xf numFmtId="0" fontId="33" fillId="0" borderId="0" xfId="0" applyFont="1" applyAlignment="1">
      <alignment horizontal="left" vertical="center"/>
    </xf>
    <xf numFmtId="0" fontId="0" fillId="0" borderId="0" xfId="0" applyAlignment="1">
      <alignment wrapText="1"/>
    </xf>
    <xf numFmtId="0" fontId="33" fillId="0" borderId="0" xfId="0" applyFont="1" applyAlignment="1">
      <alignment vertical="center"/>
    </xf>
    <xf numFmtId="2" fontId="5" fillId="0" borderId="0" xfId="0" applyNumberFormat="1" applyFont="1" applyAlignment="1">
      <alignment horizontal="left" vertical="center"/>
    </xf>
    <xf numFmtId="0" fontId="40" fillId="0" borderId="32" xfId="0" applyFont="1" applyBorder="1" applyAlignment="1">
      <alignment vertical="center" wrapText="1"/>
    </xf>
    <xf numFmtId="0" fontId="2" fillId="0" borderId="0" xfId="0" applyFont="1" applyAlignment="1">
      <alignment horizontal="center" vertical="center" wrapText="1"/>
    </xf>
    <xf numFmtId="0" fontId="10"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center"/>
    </xf>
    <xf numFmtId="0" fontId="35" fillId="0" borderId="0" xfId="0" applyFont="1" applyAlignment="1">
      <alignment horizontal="center" vertical="center"/>
    </xf>
    <xf numFmtId="0" fontId="35" fillId="0" borderId="0" xfId="0" applyFont="1" applyAlignment="1">
      <alignment vertical="center" wrapText="1"/>
    </xf>
    <xf numFmtId="0" fontId="35" fillId="0" borderId="0" xfId="0" applyFont="1" applyAlignment="1">
      <alignment vertical="center"/>
    </xf>
    <xf numFmtId="0" fontId="36" fillId="0" borderId="0" xfId="0" applyFont="1" applyAlignment="1">
      <alignment vertical="center" wrapText="1"/>
    </xf>
    <xf numFmtId="1" fontId="35" fillId="0" borderId="0" xfId="0" applyNumberFormat="1" applyFont="1" applyAlignment="1">
      <alignment vertical="center"/>
    </xf>
    <xf numFmtId="1" fontId="0" fillId="0" borderId="0" xfId="0" applyNumberFormat="1" applyAlignment="1">
      <alignment vertical="center"/>
    </xf>
    <xf numFmtId="0" fontId="46" fillId="2" borderId="0" xfId="0" applyFont="1" applyFill="1" applyAlignment="1">
      <alignment horizontal="center" vertical="center"/>
    </xf>
    <xf numFmtId="0" fontId="0" fillId="2" borderId="7" xfId="0" applyFill="1" applyBorder="1" applyAlignment="1">
      <alignment horizontal="center" vertical="center"/>
    </xf>
    <xf numFmtId="2" fontId="0" fillId="0" borderId="0" xfId="0" applyNumberFormat="1" applyAlignment="1">
      <alignment horizontal="right"/>
    </xf>
    <xf numFmtId="0" fontId="0" fillId="0" borderId="0" xfId="0" applyAlignment="1">
      <alignment horizontal="left" vertical="center"/>
    </xf>
    <xf numFmtId="0" fontId="47" fillId="0" borderId="0" xfId="0" applyFont="1" applyAlignment="1">
      <alignment horizontal="center" vertical="center" wrapText="1"/>
    </xf>
    <xf numFmtId="0" fontId="0" fillId="0" borderId="0" xfId="0" applyAlignment="1">
      <alignment horizontal="right"/>
    </xf>
    <xf numFmtId="2" fontId="0" fillId="2" borderId="0" xfId="0" applyNumberFormat="1" applyFill="1"/>
    <xf numFmtId="0" fontId="47" fillId="0" borderId="0" xfId="0" applyFont="1" applyAlignment="1">
      <alignment horizontal="right" vertical="center" wrapText="1"/>
    </xf>
    <xf numFmtId="9" fontId="0" fillId="0" borderId="0" xfId="0" applyNumberFormat="1" applyAlignment="1">
      <alignment horizontal="right"/>
    </xf>
    <xf numFmtId="2" fontId="0" fillId="2" borderId="0" xfId="0" applyNumberFormat="1" applyFill="1" applyAlignment="1">
      <alignment horizontal="right"/>
    </xf>
    <xf numFmtId="0" fontId="7" fillId="7" borderId="7" xfId="0" applyFont="1" applyFill="1" applyBorder="1" applyAlignment="1">
      <alignment horizontal="center" vertical="center"/>
    </xf>
    <xf numFmtId="0" fontId="7" fillId="7" borderId="7" xfId="0" applyFont="1" applyFill="1" applyBorder="1" applyAlignment="1">
      <alignment horizontal="center" vertical="center" wrapText="1"/>
    </xf>
    <xf numFmtId="2" fontId="7" fillId="7" borderId="7" xfId="0" applyNumberFormat="1" applyFont="1" applyFill="1" applyBorder="1" applyAlignment="1">
      <alignment horizontal="center" vertical="center" wrapText="1"/>
    </xf>
    <xf numFmtId="0" fontId="35" fillId="0" borderId="0" xfId="0" applyFont="1" applyAlignment="1">
      <alignment wrapText="1"/>
    </xf>
    <xf numFmtId="0" fontId="35" fillId="0" borderId="0" xfId="0" applyFont="1" applyAlignment="1">
      <alignment horizontal="left" vertical="center"/>
    </xf>
    <xf numFmtId="0" fontId="36" fillId="0" borderId="0" xfId="0" applyFont="1" applyAlignment="1">
      <alignment horizontal="left" vertical="center" wrapText="1"/>
    </xf>
    <xf numFmtId="0" fontId="35" fillId="0" borderId="0" xfId="0" applyFont="1" applyAlignment="1">
      <alignment horizontal="left" vertical="center" wrapText="1"/>
    </xf>
    <xf numFmtId="0" fontId="15" fillId="0" borderId="10" xfId="0" applyFont="1" applyBorder="1" applyAlignment="1">
      <alignment horizontal="center" vertical="center" wrapText="1"/>
    </xf>
    <xf numFmtId="0" fontId="2" fillId="0" borderId="10" xfId="0" applyFont="1" applyBorder="1" applyAlignment="1">
      <alignment horizontal="center" vertical="center" wrapText="1"/>
    </xf>
    <xf numFmtId="0" fontId="15" fillId="0" borderId="25" xfId="0" applyFont="1" applyBorder="1" applyAlignment="1">
      <alignment horizontal="center" vertical="center" wrapText="1"/>
    </xf>
    <xf numFmtId="0" fontId="9" fillId="0" borderId="0" xfId="0" applyFont="1" applyAlignment="1">
      <alignment horizontal="center" vertical="top"/>
    </xf>
    <xf numFmtId="0" fontId="3" fillId="0" borderId="0" xfId="0" applyFont="1" applyAlignment="1">
      <alignment horizontal="left" vertical="top" wrapText="1"/>
    </xf>
    <xf numFmtId="0" fontId="0" fillId="0" borderId="0" xfId="0" applyAlignment="1">
      <alignment horizontal="right" vertical="center"/>
    </xf>
    <xf numFmtId="0" fontId="9" fillId="0" borderId="0" xfId="0" applyFont="1" applyAlignment="1">
      <alignment vertical="center"/>
    </xf>
    <xf numFmtId="0" fontId="4" fillId="8" borderId="7" xfId="0" applyFont="1" applyFill="1" applyBorder="1" applyAlignment="1">
      <alignment horizontal="center" vertical="center" wrapText="1"/>
    </xf>
    <xf numFmtId="0" fontId="49" fillId="0" borderId="7" xfId="0" applyFont="1" applyBorder="1" applyAlignment="1">
      <alignment horizontal="center" vertical="center" wrapText="1"/>
    </xf>
    <xf numFmtId="171" fontId="49" fillId="0" borderId="7" xfId="0" applyNumberFormat="1" applyFont="1" applyBorder="1" applyAlignment="1">
      <alignment horizontal="center" vertical="center" wrapText="1"/>
    </xf>
    <xf numFmtId="167" fontId="49" fillId="0" borderId="7" xfId="0" applyNumberFormat="1" applyFont="1" applyBorder="1" applyAlignment="1">
      <alignment horizontal="center" vertical="center" wrapText="1"/>
    </xf>
    <xf numFmtId="1" fontId="49" fillId="0" borderId="7" xfId="0" applyNumberFormat="1" applyFont="1" applyBorder="1" applyAlignment="1">
      <alignment horizontal="center" vertical="center" wrapText="1"/>
    </xf>
    <xf numFmtId="0" fontId="23" fillId="0" borderId="5" xfId="0" applyFont="1" applyBorder="1" applyAlignment="1">
      <alignment horizontal="center"/>
    </xf>
    <xf numFmtId="0" fontId="0" fillId="0" borderId="31" xfId="0" applyBorder="1" applyAlignment="1">
      <alignment horizontal="center"/>
    </xf>
    <xf numFmtId="0" fontId="10" fillId="4" borderId="4" xfId="0" applyFont="1" applyFill="1" applyBorder="1" applyAlignment="1">
      <alignment horizontal="center" vertical="center"/>
    </xf>
    <xf numFmtId="0" fontId="39" fillId="0" borderId="31" xfId="0" applyFont="1" applyBorder="1" applyAlignment="1">
      <alignment horizontal="left" vertical="center" wrapText="1"/>
    </xf>
    <xf numFmtId="0" fontId="39" fillId="0" borderId="22" xfId="0" applyFont="1" applyBorder="1" applyAlignment="1">
      <alignment horizontal="left" vertical="center" wrapText="1"/>
    </xf>
    <xf numFmtId="171" fontId="49" fillId="0" borderId="7" xfId="0" applyNumberFormat="1" applyFont="1" applyBorder="1" applyAlignment="1">
      <alignment horizontal="center" vertical="center" wrapText="1"/>
    </xf>
    <xf numFmtId="0" fontId="15" fillId="0" borderId="7" xfId="0" applyFont="1" applyBorder="1" applyAlignment="1">
      <alignment horizontal="center" vertical="center"/>
    </xf>
    <xf numFmtId="0" fontId="12" fillId="0" borderId="7" xfId="0" applyFont="1" applyBorder="1" applyAlignment="1">
      <alignment horizontal="center" vertical="center" wrapText="1"/>
    </xf>
    <xf numFmtId="1" fontId="15" fillId="0" borderId="25" xfId="0" applyNumberFormat="1" applyFont="1" applyBorder="1" applyAlignment="1">
      <alignment horizontal="left" vertical="center" wrapText="1"/>
    </xf>
    <xf numFmtId="1" fontId="15" fillId="0" borderId="9" xfId="0" applyNumberFormat="1" applyFont="1" applyBorder="1" applyAlignment="1">
      <alignment horizontal="left" vertical="center" wrapText="1"/>
    </xf>
    <xf numFmtId="1" fontId="15" fillId="0" borderId="12" xfId="0" applyNumberFormat="1" applyFont="1" applyBorder="1" applyAlignment="1">
      <alignment horizontal="left" vertical="center" wrapText="1"/>
    </xf>
    <xf numFmtId="0" fontId="15" fillId="0" borderId="25" xfId="0" applyFont="1" applyBorder="1" applyAlignment="1">
      <alignment horizontal="left" vertical="center" wrapText="1"/>
    </xf>
    <xf numFmtId="0" fontId="15" fillId="0" borderId="9" xfId="0" applyFont="1" applyBorder="1" applyAlignment="1">
      <alignment horizontal="left" vertical="center" wrapText="1"/>
    </xf>
    <xf numFmtId="0" fontId="15" fillId="0" borderId="12" xfId="0" applyFont="1" applyBorder="1" applyAlignment="1">
      <alignment horizontal="left" vertical="center" wrapText="1"/>
    </xf>
    <xf numFmtId="0" fontId="10" fillId="4" borderId="4" xfId="0" applyFont="1" applyFill="1" applyBorder="1" applyAlignment="1">
      <alignment horizontal="center"/>
    </xf>
    <xf numFmtId="0" fontId="48" fillId="0" borderId="25" xfId="0" applyFont="1" applyBorder="1" applyAlignment="1">
      <alignment horizontal="left" vertical="center" wrapText="1"/>
    </xf>
    <xf numFmtId="0" fontId="48" fillId="0" borderId="12" xfId="0" applyFont="1" applyBorder="1" applyAlignment="1">
      <alignment horizontal="left" vertical="center" wrapText="1"/>
    </xf>
    <xf numFmtId="0" fontId="48" fillId="0" borderId="1" xfId="0" applyFont="1" applyBorder="1" applyAlignment="1">
      <alignment horizontal="left" vertical="center" wrapText="1"/>
    </xf>
    <xf numFmtId="0" fontId="48" fillId="0" borderId="2" xfId="0" applyFont="1" applyBorder="1" applyAlignment="1">
      <alignment horizontal="left" vertical="center" wrapText="1"/>
    </xf>
    <xf numFmtId="0" fontId="1" fillId="0" borderId="0" xfId="0" applyFont="1" applyAlignment="1">
      <alignment horizontal="left" vertical="center" wrapText="1"/>
    </xf>
    <xf numFmtId="0" fontId="2" fillId="4" borderId="21"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2" fillId="4" borderId="22" xfId="0" applyFont="1" applyFill="1" applyBorder="1" applyAlignment="1">
      <alignment horizontal="center" vertical="center" wrapText="1"/>
    </xf>
    <xf numFmtId="168" fontId="9" fillId="0" borderId="25" xfId="1" applyNumberFormat="1" applyFont="1" applyFill="1" applyBorder="1" applyAlignment="1">
      <alignment horizontal="right" vertical="center" wrapText="1"/>
    </xf>
    <xf numFmtId="168" fontId="9" fillId="0" borderId="28" xfId="1" applyNumberFormat="1" applyFont="1" applyFill="1" applyBorder="1" applyAlignment="1">
      <alignment horizontal="right" vertical="center" wrapText="1"/>
    </xf>
    <xf numFmtId="168" fontId="9" fillId="0" borderId="26" xfId="1" applyNumberFormat="1" applyFont="1" applyFill="1" applyBorder="1" applyAlignment="1">
      <alignment horizontal="right" vertical="center" wrapText="1"/>
    </xf>
    <xf numFmtId="168" fontId="9" fillId="0" borderId="29" xfId="1" applyNumberFormat="1" applyFont="1" applyFill="1" applyBorder="1" applyAlignment="1">
      <alignment horizontal="right" vertical="center" wrapText="1"/>
    </xf>
    <xf numFmtId="0" fontId="3" fillId="0" borderId="25" xfId="0" applyFont="1" applyBorder="1" applyAlignment="1">
      <alignment horizontal="left" vertical="center" wrapText="1"/>
    </xf>
    <xf numFmtId="0" fontId="3" fillId="0" borderId="9" xfId="0" applyFont="1" applyBorder="1" applyAlignment="1">
      <alignment horizontal="left" vertical="center" wrapText="1"/>
    </xf>
    <xf numFmtId="0" fontId="3" fillId="0" borderId="12" xfId="0" applyFont="1" applyBorder="1" applyAlignment="1">
      <alignment horizontal="left" vertical="center" wrapText="1"/>
    </xf>
    <xf numFmtId="0" fontId="15" fillId="0" borderId="7" xfId="0" applyFont="1" applyBorder="1" applyAlignment="1">
      <alignment horizontal="center" vertical="center" wrapText="1"/>
    </xf>
    <xf numFmtId="0" fontId="15" fillId="0" borderId="7" xfId="0" applyFont="1" applyBorder="1" applyAlignment="1">
      <alignment horizontal="left" vertical="center" wrapText="1"/>
    </xf>
    <xf numFmtId="0" fontId="2" fillId="0" borderId="7" xfId="0" applyFont="1" applyBorder="1" applyAlignment="1">
      <alignment horizontal="left" vertical="center" wrapText="1"/>
    </xf>
    <xf numFmtId="0" fontId="1" fillId="0" borderId="7" xfId="0" applyFont="1" applyBorder="1" applyAlignment="1">
      <alignment horizontal="center" vertical="center"/>
    </xf>
    <xf numFmtId="0" fontId="1" fillId="0" borderId="7" xfId="0" applyFont="1" applyBorder="1" applyAlignment="1">
      <alignment horizontal="left" vertical="center" wrapText="1"/>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8" xfId="0" applyFont="1" applyBorder="1" applyAlignment="1">
      <alignment horizontal="center" vertical="center"/>
    </xf>
    <xf numFmtId="0" fontId="4" fillId="0" borderId="7" xfId="0" applyFont="1" applyBorder="1" applyAlignment="1">
      <alignment horizontal="center" vertical="center" wrapText="1"/>
    </xf>
    <xf numFmtId="0" fontId="1" fillId="0" borderId="5" xfId="0" applyFont="1" applyBorder="1" applyAlignment="1">
      <alignment horizontal="left" vertical="center" wrapText="1"/>
    </xf>
    <xf numFmtId="1" fontId="12" fillId="0" borderId="7" xfId="0" applyNumberFormat="1" applyFont="1" applyBorder="1" applyAlignment="1">
      <alignment horizontal="center" vertical="center" wrapText="1"/>
    </xf>
    <xf numFmtId="0" fontId="48" fillId="0" borderId="7" xfId="0" applyFont="1" applyBorder="1" applyAlignment="1">
      <alignment horizontal="center" vertical="center"/>
    </xf>
    <xf numFmtId="0" fontId="37" fillId="0" borderId="0" xfId="0" applyFont="1" applyAlignment="1">
      <alignment horizontal="left" vertical="center" wrapText="1"/>
    </xf>
    <xf numFmtId="1" fontId="12" fillId="0" borderId="7" xfId="0" applyNumberFormat="1" applyFont="1" applyBorder="1" applyAlignment="1">
      <alignment horizontal="center" vertical="center"/>
    </xf>
    <xf numFmtId="0" fontId="48" fillId="0" borderId="7" xfId="0" applyFont="1" applyBorder="1" applyAlignment="1">
      <alignment horizontal="center" vertical="center" wrapText="1"/>
    </xf>
    <xf numFmtId="0" fontId="3" fillId="0" borderId="7" xfId="0" applyFont="1" applyBorder="1" applyAlignment="1">
      <alignment horizontal="center" vertical="center" wrapText="1"/>
    </xf>
    <xf numFmtId="168" fontId="3" fillId="0" borderId="7" xfId="0" applyNumberFormat="1" applyFont="1" applyBorder="1" applyAlignment="1">
      <alignment horizontal="center" vertical="center" wrapText="1"/>
    </xf>
    <xf numFmtId="9" fontId="3" fillId="0" borderId="7" xfId="0" applyNumberFormat="1" applyFont="1" applyBorder="1" applyAlignment="1">
      <alignment horizontal="center" vertical="center" wrapText="1"/>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33" fillId="0" borderId="0" xfId="0" applyFont="1" applyAlignment="1">
      <alignment horizontal="left" vertical="center"/>
    </xf>
    <xf numFmtId="0" fontId="32" fillId="0" borderId="0" xfId="0" applyFont="1" applyAlignment="1">
      <alignment horizontal="center" vertical="center" wrapText="1"/>
    </xf>
    <xf numFmtId="0" fontId="12" fillId="0" borderId="7" xfId="0" applyFont="1" applyBorder="1" applyAlignment="1">
      <alignment horizontal="center" vertical="center"/>
    </xf>
    <xf numFmtId="0" fontId="28" fillId="0" borderId="0" xfId="0" applyFont="1" applyAlignment="1">
      <alignment horizontal="center" vertical="top" wrapText="1"/>
    </xf>
    <xf numFmtId="0" fontId="28" fillId="0" borderId="3" xfId="0" applyFont="1" applyBorder="1" applyAlignment="1">
      <alignment horizontal="center" vertical="top" wrapText="1"/>
    </xf>
    <xf numFmtId="49" fontId="33" fillId="0" borderId="0" xfId="0" applyNumberFormat="1" applyFont="1" applyAlignment="1">
      <alignment horizontal="left" vertical="center"/>
    </xf>
    <xf numFmtId="0" fontId="12" fillId="0" borderId="25"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0" fontId="48" fillId="0" borderId="26" xfId="0" applyFont="1" applyBorder="1" applyAlignment="1">
      <alignment horizontal="left" vertical="center" wrapText="1"/>
    </xf>
    <xf numFmtId="0" fontId="48" fillId="0" borderId="27" xfId="0" applyFont="1" applyBorder="1" applyAlignment="1">
      <alignment horizontal="left" vertical="center" wrapText="1"/>
    </xf>
    <xf numFmtId="0" fontId="15" fillId="0" borderId="10" xfId="0" applyFont="1" applyBorder="1" applyAlignment="1">
      <alignment horizontal="center" vertical="center"/>
    </xf>
    <xf numFmtId="0" fontId="15" fillId="0" borderId="11" xfId="0" applyFont="1" applyBorder="1" applyAlignment="1">
      <alignment horizontal="center" vertical="center"/>
    </xf>
    <xf numFmtId="0" fontId="15" fillId="0" borderId="8" xfId="0" applyFont="1" applyBorder="1" applyAlignment="1">
      <alignment horizontal="center" vertical="center"/>
    </xf>
    <xf numFmtId="1" fontId="12" fillId="0" borderId="10" xfId="0" applyNumberFormat="1" applyFont="1" applyBorder="1" applyAlignment="1">
      <alignment horizontal="center" vertical="center"/>
    </xf>
    <xf numFmtId="1" fontId="12" fillId="0" borderId="11" xfId="0" applyNumberFormat="1" applyFont="1" applyBorder="1" applyAlignment="1">
      <alignment horizontal="center" vertical="center"/>
    </xf>
    <xf numFmtId="1" fontId="12" fillId="0" borderId="8" xfId="0" applyNumberFormat="1" applyFont="1" applyBorder="1" applyAlignment="1">
      <alignment horizontal="center" vertical="center"/>
    </xf>
    <xf numFmtId="0" fontId="32" fillId="0" borderId="0" xfId="0" applyFont="1" applyAlignment="1">
      <alignment horizontal="left" vertical="center" wrapText="1"/>
    </xf>
    <xf numFmtId="2" fontId="34" fillId="0" borderId="0" xfId="0" applyNumberFormat="1" applyFont="1" applyAlignment="1">
      <alignment horizontal="right" vertical="center" wrapText="1"/>
    </xf>
    <xf numFmtId="0" fontId="33" fillId="2" borderId="0" xfId="0" applyFont="1" applyFill="1" applyAlignment="1">
      <alignment horizontal="left" vertical="center"/>
    </xf>
    <xf numFmtId="0" fontId="33" fillId="0" borderId="0" xfId="0" applyFont="1" applyAlignment="1">
      <alignment horizontal="left" vertical="center" wrapText="1"/>
    </xf>
    <xf numFmtId="14" fontId="33" fillId="0" borderId="0" xfId="0" applyNumberFormat="1" applyFont="1" applyAlignment="1">
      <alignment horizontal="left" vertical="center"/>
    </xf>
    <xf numFmtId="0" fontId="10" fillId="4" borderId="9" xfId="0" applyFont="1" applyFill="1" applyBorder="1" applyAlignment="1">
      <alignment horizontal="center"/>
    </xf>
    <xf numFmtId="0" fontId="14" fillId="0" borderId="7" xfId="0" applyFont="1" applyBorder="1" applyAlignment="1">
      <alignment horizontal="center"/>
    </xf>
    <xf numFmtId="0" fontId="1" fillId="0" borderId="25" xfId="0" applyFont="1" applyBorder="1" applyAlignment="1">
      <alignment horizontal="lef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6" xfId="0" applyFont="1" applyBorder="1" applyAlignment="1">
      <alignment horizontal="left" vertical="center" wrapText="1"/>
    </xf>
    <xf numFmtId="0" fontId="1" fillId="0" borderId="32" xfId="0" applyFont="1" applyBorder="1" applyAlignment="1">
      <alignment horizontal="left" vertical="center" wrapText="1"/>
    </xf>
    <xf numFmtId="0" fontId="1" fillId="0" borderId="27" xfId="0" applyFont="1" applyBorder="1" applyAlignment="1">
      <alignment horizontal="left" vertical="center" wrapText="1"/>
    </xf>
    <xf numFmtId="0" fontId="1" fillId="0" borderId="7" xfId="0" applyFont="1" applyBorder="1" applyAlignment="1">
      <alignment horizontal="left" wrapText="1"/>
    </xf>
    <xf numFmtId="0" fontId="8" fillId="0" borderId="21" xfId="0" applyFont="1" applyBorder="1" applyAlignment="1">
      <alignment horizontal="center" wrapText="1"/>
    </xf>
    <xf numFmtId="0" fontId="8" fillId="0" borderId="31" xfId="0" applyFont="1" applyBorder="1" applyAlignment="1">
      <alignment horizontal="center"/>
    </xf>
    <xf numFmtId="0" fontId="8" fillId="0" borderId="22" xfId="0" applyFont="1" applyBorder="1" applyAlignment="1">
      <alignment horizontal="center"/>
    </xf>
    <xf numFmtId="0" fontId="2" fillId="0" borderId="36" xfId="0" applyFont="1" applyBorder="1" applyAlignment="1">
      <alignment horizontal="center" vertical="center"/>
    </xf>
    <xf numFmtId="0" fontId="2" fillId="0" borderId="37" xfId="0" applyFont="1" applyBorder="1" applyAlignment="1">
      <alignment horizontal="center" vertical="center"/>
    </xf>
    <xf numFmtId="0" fontId="15" fillId="0" borderId="17"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7" xfId="0" applyFont="1" applyBorder="1" applyAlignment="1">
      <alignment horizontal="center" vertical="center" wrapText="1"/>
    </xf>
    <xf numFmtId="0" fontId="15" fillId="0" borderId="1" xfId="0" applyFont="1" applyBorder="1" applyAlignment="1">
      <alignment horizontal="left" vertical="center" wrapText="1"/>
    </xf>
    <xf numFmtId="0" fontId="15" fillId="0" borderId="0" xfId="0" applyFont="1" applyAlignment="1">
      <alignment horizontal="left" vertical="center" wrapText="1"/>
    </xf>
    <xf numFmtId="0" fontId="15" fillId="0" borderId="2" xfId="0" applyFont="1" applyBorder="1" applyAlignment="1">
      <alignment horizontal="left" vertical="center" wrapText="1"/>
    </xf>
    <xf numFmtId="0" fontId="15" fillId="0" borderId="26" xfId="0" applyFont="1" applyBorder="1" applyAlignment="1">
      <alignment horizontal="left" vertical="center" wrapText="1"/>
    </xf>
    <xf numFmtId="0" fontId="15" fillId="0" borderId="32" xfId="0" applyFont="1" applyBorder="1" applyAlignment="1">
      <alignment horizontal="left" vertical="center" wrapText="1"/>
    </xf>
    <xf numFmtId="0" fontId="15" fillId="0" borderId="27" xfId="0" applyFont="1" applyBorder="1" applyAlignment="1">
      <alignment horizontal="left" vertical="center" wrapText="1"/>
    </xf>
    <xf numFmtId="0" fontId="15" fillId="0" borderId="38" xfId="0" applyFont="1" applyBorder="1" applyAlignment="1">
      <alignment horizontal="center" vertical="center" wrapText="1"/>
    </xf>
    <xf numFmtId="0" fontId="15" fillId="0" borderId="24" xfId="0" applyFont="1" applyBorder="1" applyAlignment="1">
      <alignment horizontal="center" vertical="center" wrapText="1"/>
    </xf>
    <xf numFmtId="0" fontId="15" fillId="0" borderId="38" xfId="0" applyFont="1" applyBorder="1" applyAlignment="1">
      <alignment horizontal="left" vertical="center" wrapText="1"/>
    </xf>
    <xf numFmtId="0" fontId="15" fillId="0" borderId="23" xfId="0" applyFont="1" applyBorder="1" applyAlignment="1">
      <alignment horizontal="left" vertical="center" wrapText="1"/>
    </xf>
    <xf numFmtId="0" fontId="15" fillId="0" borderId="24" xfId="0" applyFont="1" applyBorder="1" applyAlignment="1">
      <alignment horizontal="left" vertical="center" wrapText="1"/>
    </xf>
    <xf numFmtId="0" fontId="10" fillId="4" borderId="3" xfId="0" applyFont="1" applyFill="1" applyBorder="1" applyAlignment="1">
      <alignment horizontal="center"/>
    </xf>
    <xf numFmtId="0" fontId="42" fillId="0" borderId="8" xfId="0" applyFont="1" applyBorder="1" applyAlignment="1">
      <alignment horizontal="left" wrapText="1"/>
    </xf>
    <xf numFmtId="0" fontId="42" fillId="0" borderId="7" xfId="0" applyFont="1" applyBorder="1" applyAlignment="1">
      <alignment horizontal="left"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left" vertical="center" wrapText="1"/>
    </xf>
    <xf numFmtId="0" fontId="0" fillId="0" borderId="0" xfId="0" applyAlignment="1">
      <alignment horizontal="center"/>
    </xf>
    <xf numFmtId="0" fontId="5" fillId="0" borderId="0" xfId="0" applyFont="1" applyAlignment="1">
      <alignment horizontal="left" vertical="center"/>
    </xf>
    <xf numFmtId="1" fontId="5" fillId="0" borderId="0" xfId="0" applyNumberFormat="1" applyFont="1" applyAlignment="1">
      <alignment horizontal="left" vertical="center"/>
    </xf>
    <xf numFmtId="0" fontId="6" fillId="0" borderId="0" xfId="0" applyFont="1" applyAlignment="1">
      <alignment horizontal="left" vertic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0" fontId="13" fillId="0" borderId="0" xfId="0" applyFont="1" applyAlignment="1">
      <alignment horizontal="left" vertical="center"/>
    </xf>
    <xf numFmtId="0" fontId="1" fillId="0" borderId="0" xfId="0" applyFont="1" applyAlignment="1">
      <alignment horizontal="left"/>
    </xf>
    <xf numFmtId="0" fontId="1" fillId="0" borderId="2" xfId="0" applyFont="1" applyBorder="1" applyAlignment="1">
      <alignment horizontal="left"/>
    </xf>
    <xf numFmtId="0" fontId="1" fillId="0" borderId="1" xfId="0" applyFont="1" applyBorder="1" applyAlignment="1">
      <alignment horizontal="left" vertical="center"/>
    </xf>
    <xf numFmtId="0" fontId="1" fillId="0" borderId="0" xfId="0" applyFont="1" applyAlignment="1">
      <alignment horizontal="left" vertical="center"/>
    </xf>
    <xf numFmtId="0" fontId="1" fillId="0" borderId="7" xfId="0" applyFont="1" applyBorder="1" applyAlignment="1">
      <alignment horizontal="right" vertical="center" wrapText="1"/>
    </xf>
    <xf numFmtId="168" fontId="2" fillId="0" borderId="7" xfId="1" applyNumberFormat="1" applyFont="1" applyBorder="1" applyAlignment="1">
      <alignment horizontal="center" vertical="center" wrapText="1"/>
    </xf>
    <xf numFmtId="0" fontId="3" fillId="0" borderId="7" xfId="0" applyFont="1" applyBorder="1" applyAlignment="1">
      <alignment horizontal="left" vertical="center" wrapText="1"/>
    </xf>
    <xf numFmtId="168" fontId="18" fillId="2" borderId="7" xfId="1" applyNumberFormat="1" applyFont="1" applyFill="1" applyBorder="1" applyAlignment="1">
      <alignment horizontal="center" vertical="center" wrapText="1"/>
    </xf>
    <xf numFmtId="0" fontId="1" fillId="0" borderId="21" xfId="0" applyFont="1" applyBorder="1" applyAlignment="1">
      <alignment horizontal="center" vertical="center" wrapText="1"/>
    </xf>
    <xf numFmtId="0" fontId="1" fillId="0" borderId="31" xfId="0" applyFont="1" applyBorder="1" applyAlignment="1">
      <alignment horizontal="center" vertical="center" wrapText="1"/>
    </xf>
    <xf numFmtId="0" fontId="18" fillId="2" borderId="31" xfId="0" applyFont="1" applyFill="1" applyBorder="1" applyAlignment="1">
      <alignment horizontal="right" vertical="center" wrapText="1"/>
    </xf>
    <xf numFmtId="0" fontId="18" fillId="2" borderId="22" xfId="0" applyFont="1" applyFill="1" applyBorder="1" applyAlignment="1">
      <alignment horizontal="right" vertical="center" wrapText="1"/>
    </xf>
    <xf numFmtId="0" fontId="1" fillId="0" borderId="21" xfId="0" applyFont="1" applyBorder="1" applyAlignment="1">
      <alignment horizontal="right" vertical="center" wrapText="1"/>
    </xf>
    <xf numFmtId="0" fontId="1" fillId="0" borderId="31" xfId="0" applyFont="1" applyBorder="1" applyAlignment="1">
      <alignment horizontal="right" vertical="center" wrapText="1"/>
    </xf>
    <xf numFmtId="0" fontId="1" fillId="0" borderId="22" xfId="0" applyFont="1" applyBorder="1" applyAlignment="1">
      <alignment horizontal="right" vertical="center" wrapText="1"/>
    </xf>
    <xf numFmtId="0" fontId="1" fillId="0" borderId="16" xfId="0" applyFont="1" applyBorder="1" applyAlignment="1">
      <alignment horizontal="center" vertical="center" wrapText="1"/>
    </xf>
    <xf numFmtId="2"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64" fontId="1" fillId="0" borderId="7" xfId="0" applyNumberFormat="1" applyFont="1" applyBorder="1" applyAlignment="1">
      <alignment horizontal="center" vertical="center" wrapText="1"/>
    </xf>
    <xf numFmtId="168" fontId="2" fillId="0" borderId="7" xfId="1" applyNumberFormat="1" applyFont="1" applyBorder="1" applyAlignment="1">
      <alignment horizontal="right" vertical="center" wrapText="1"/>
    </xf>
    <xf numFmtId="168" fontId="2" fillId="0" borderId="17" xfId="1" applyNumberFormat="1" applyFont="1" applyBorder="1" applyAlignment="1">
      <alignment horizontal="right" vertical="center" wrapText="1"/>
    </xf>
    <xf numFmtId="0" fontId="16" fillId="2" borderId="9" xfId="0" applyFont="1" applyFill="1" applyBorder="1" applyAlignment="1">
      <alignment horizontal="right" vertical="center" wrapText="1"/>
    </xf>
    <xf numFmtId="0" fontId="16" fillId="2" borderId="12" xfId="0" applyFont="1" applyFill="1" applyBorder="1" applyAlignment="1">
      <alignment horizontal="right" vertical="center" wrapText="1"/>
    </xf>
    <xf numFmtId="0" fontId="16" fillId="2" borderId="32" xfId="0" applyFont="1" applyFill="1" applyBorder="1" applyAlignment="1">
      <alignment horizontal="right" vertical="center" wrapText="1"/>
    </xf>
    <xf numFmtId="0" fontId="16" fillId="2" borderId="27" xfId="0" applyFont="1" applyFill="1" applyBorder="1" applyAlignment="1">
      <alignment horizontal="right" vertical="center" wrapText="1"/>
    </xf>
    <xf numFmtId="0" fontId="1" fillId="0" borderId="39" xfId="0" applyFont="1" applyBorder="1" applyAlignment="1">
      <alignment horizontal="center" vertical="center" wrapText="1"/>
    </xf>
    <xf numFmtId="0" fontId="1" fillId="0" borderId="9"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32" xfId="0" applyFont="1" applyBorder="1" applyAlignment="1">
      <alignment horizontal="center" vertical="center" wrapText="1"/>
    </xf>
    <xf numFmtId="168" fontId="9" fillId="2" borderId="25" xfId="1" applyNumberFormat="1" applyFont="1" applyFill="1" applyBorder="1" applyAlignment="1">
      <alignment horizontal="right" vertical="center" wrapText="1"/>
    </xf>
    <xf numFmtId="168" fontId="9" fillId="2" borderId="28" xfId="1" applyNumberFormat="1" applyFont="1" applyFill="1" applyBorder="1" applyAlignment="1">
      <alignment horizontal="right" vertical="center" wrapText="1"/>
    </xf>
    <xf numFmtId="168" fontId="9" fillId="2" borderId="26" xfId="1" applyNumberFormat="1" applyFont="1" applyFill="1" applyBorder="1" applyAlignment="1">
      <alignment horizontal="right" vertical="center" wrapText="1"/>
    </xf>
    <xf numFmtId="168" fontId="9" fillId="2" borderId="29" xfId="1" applyNumberFormat="1" applyFont="1" applyFill="1" applyBorder="1" applyAlignment="1">
      <alignment horizontal="right" vertical="center" wrapText="1"/>
    </xf>
    <xf numFmtId="0" fontId="9" fillId="0" borderId="30" xfId="0" applyFont="1" applyBorder="1" applyAlignment="1">
      <alignment horizontal="center" vertical="top"/>
    </xf>
    <xf numFmtId="0" fontId="9" fillId="0" borderId="0" xfId="0" applyFont="1" applyAlignment="1">
      <alignment horizontal="center" vertical="top"/>
    </xf>
    <xf numFmtId="0" fontId="2" fillId="0" borderId="30" xfId="0" applyFont="1" applyBorder="1" applyAlignment="1">
      <alignment horizontal="center" vertical="center"/>
    </xf>
    <xf numFmtId="0" fontId="15" fillId="0" borderId="34"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4" xfId="0" applyFont="1" applyBorder="1" applyAlignment="1">
      <alignment horizontal="left" vertical="center" wrapText="1"/>
    </xf>
    <xf numFmtId="0" fontId="15" fillId="0" borderId="30" xfId="0" applyFont="1" applyBorder="1" applyAlignment="1">
      <alignment horizontal="left" vertical="center" wrapText="1"/>
    </xf>
    <xf numFmtId="0" fontId="15" fillId="0" borderId="35" xfId="0" applyFont="1" applyBorder="1" applyAlignment="1">
      <alignment horizontal="left" vertical="center" wrapText="1"/>
    </xf>
    <xf numFmtId="0" fontId="3" fillId="0" borderId="30" xfId="0" applyFont="1" applyBorder="1" applyAlignment="1">
      <alignment horizontal="left" vertical="top" wrapText="1"/>
    </xf>
    <xf numFmtId="0" fontId="3" fillId="0" borderId="0" xfId="0" applyFont="1" applyAlignment="1">
      <alignment horizontal="left" vertical="top" wrapText="1"/>
    </xf>
    <xf numFmtId="0" fontId="15" fillId="0" borderId="13" xfId="0" applyFont="1" applyBorder="1" applyAlignment="1">
      <alignment horizontal="center" vertical="center" wrapText="1"/>
    </xf>
    <xf numFmtId="0" fontId="0" fillId="0" borderId="5" xfId="0" applyBorder="1" applyAlignment="1">
      <alignment horizontal="center"/>
    </xf>
    <xf numFmtId="0" fontId="2" fillId="0" borderId="5" xfId="0" applyFont="1" applyBorder="1" applyAlignment="1">
      <alignment horizontal="center" vertical="center"/>
    </xf>
    <xf numFmtId="0" fontId="2" fillId="0" borderId="7" xfId="0" applyFont="1" applyBorder="1" applyAlignment="1">
      <alignment horizontal="right" vertical="center" wrapText="1"/>
    </xf>
    <xf numFmtId="49" fontId="1" fillId="0" borderId="0" xfId="0" applyNumberFormat="1" applyFont="1" applyAlignment="1">
      <alignment horizontal="left"/>
    </xf>
    <xf numFmtId="49" fontId="1" fillId="0" borderId="2" xfId="0" applyNumberFormat="1" applyFont="1" applyBorder="1" applyAlignment="1">
      <alignment horizontal="left"/>
    </xf>
    <xf numFmtId="0" fontId="4" fillId="4" borderId="7" xfId="0" applyFont="1" applyFill="1" applyBorder="1" applyAlignment="1">
      <alignment horizontal="center" vertical="center" wrapText="1"/>
    </xf>
    <xf numFmtId="0" fontId="48" fillId="0" borderId="25" xfId="0" applyFont="1" applyBorder="1" applyAlignment="1">
      <alignment horizontal="center" vertical="center" wrapText="1"/>
    </xf>
    <xf numFmtId="0" fontId="48" fillId="0" borderId="12"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2" xfId="0" applyFont="1" applyBorder="1" applyAlignment="1">
      <alignment horizontal="center" vertical="center" wrapText="1"/>
    </xf>
    <xf numFmtId="0" fontId="48" fillId="0" borderId="26" xfId="0" applyFont="1" applyBorder="1" applyAlignment="1">
      <alignment horizontal="center" vertical="center" wrapText="1"/>
    </xf>
    <xf numFmtId="0" fontId="48" fillId="0" borderId="27" xfId="0" applyFont="1" applyBorder="1" applyAlignment="1">
      <alignment horizontal="center" vertical="center" wrapText="1"/>
    </xf>
    <xf numFmtId="0" fontId="23" fillId="0" borderId="7" xfId="0" applyFont="1" applyBorder="1" applyAlignment="1">
      <alignment horizontal="center" vertical="center" wrapText="1"/>
    </xf>
    <xf numFmtId="0" fontId="3" fillId="0" borderId="5" xfId="0" applyFont="1" applyBorder="1" applyAlignment="1">
      <alignment horizontal="center" vertical="center"/>
    </xf>
    <xf numFmtId="0" fontId="2" fillId="0" borderId="2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2" xfId="0" applyFont="1" applyBorder="1" applyAlignment="1">
      <alignment horizontal="center" vertical="center" wrapText="1"/>
    </xf>
    <xf numFmtId="2" fontId="15" fillId="0" borderId="25" xfId="0" applyNumberFormat="1" applyFont="1" applyBorder="1" applyAlignment="1">
      <alignment horizontal="left" vertical="center" wrapText="1"/>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7" fillId="0" borderId="7" xfId="0" applyFont="1" applyBorder="1" applyAlignment="1">
      <alignment horizontal="center" vertical="center"/>
    </xf>
    <xf numFmtId="10" fontId="15" fillId="0" borderId="25" xfId="0" applyNumberFormat="1" applyFont="1" applyBorder="1" applyAlignment="1">
      <alignment horizontal="left" vertical="center" wrapText="1"/>
    </xf>
    <xf numFmtId="0" fontId="39" fillId="0" borderId="25" xfId="0" applyFont="1" applyBorder="1" applyAlignment="1">
      <alignment horizontal="left" vertical="center" wrapText="1"/>
    </xf>
    <xf numFmtId="0" fontId="39" fillId="0" borderId="9" xfId="0" applyFont="1" applyBorder="1" applyAlignment="1">
      <alignment horizontal="left" vertical="center" wrapText="1"/>
    </xf>
    <xf numFmtId="0" fontId="39" fillId="0" borderId="12" xfId="0" applyFont="1" applyBorder="1" applyAlignment="1">
      <alignment horizontal="left" vertical="center" wrapText="1"/>
    </xf>
    <xf numFmtId="0" fontId="2" fillId="4" borderId="7" xfId="0" applyFont="1" applyFill="1" applyBorder="1" applyAlignment="1">
      <alignment horizontal="center" vertical="center"/>
    </xf>
    <xf numFmtId="2" fontId="1" fillId="0" borderId="7" xfId="0" applyNumberFormat="1" applyFont="1" applyBorder="1" applyAlignment="1">
      <alignment horizontal="center" vertical="center"/>
    </xf>
    <xf numFmtId="0" fontId="1" fillId="0" borderId="7" xfId="0" applyFont="1" applyBorder="1" applyAlignment="1">
      <alignment horizontal="left" vertical="center"/>
    </xf>
    <xf numFmtId="0" fontId="0" fillId="0" borderId="41" xfId="0" applyBorder="1" applyAlignment="1">
      <alignment horizontal="center" wrapText="1"/>
    </xf>
    <xf numFmtId="171" fontId="1" fillId="0" borderId="7" xfId="0" applyNumberFormat="1" applyFont="1" applyBorder="1" applyAlignment="1">
      <alignment horizontal="center" vertical="center"/>
    </xf>
    <xf numFmtId="0" fontId="1" fillId="0" borderId="22"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39" fillId="0" borderId="21" xfId="0" applyFont="1" applyBorder="1" applyAlignment="1">
      <alignment horizontal="left" vertical="center" wrapText="1"/>
    </xf>
    <xf numFmtId="0" fontId="4" fillId="8" borderId="7" xfId="0" applyFont="1" applyFill="1" applyBorder="1" applyAlignment="1">
      <alignment horizontal="center" vertical="center" wrapText="1"/>
    </xf>
    <xf numFmtId="0" fontId="0" fillId="2" borderId="21" xfId="0" applyFill="1" applyBorder="1" applyAlignment="1">
      <alignment horizontal="center"/>
    </xf>
    <xf numFmtId="0" fontId="0" fillId="2" borderId="22"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170" fontId="0" fillId="0" borderId="0" xfId="0" applyNumberFormat="1" applyAlignment="1">
      <alignment horizontal="center" vertical="center"/>
    </xf>
    <xf numFmtId="0" fontId="3" fillId="0" borderId="0" xfId="0" applyFont="1" applyAlignment="1">
      <alignment horizontal="left" vertical="center"/>
    </xf>
    <xf numFmtId="22" fontId="1" fillId="0" borderId="0" xfId="0" applyNumberFormat="1" applyFont="1" applyAlignment="1">
      <alignment horizontal="center"/>
    </xf>
    <xf numFmtId="0" fontId="1" fillId="0" borderId="0" xfId="0" applyFont="1" applyAlignment="1">
      <alignment horizont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8" xfId="0" applyBorder="1" applyAlignment="1">
      <alignment horizontal="left"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cellXfs>
  <cellStyles count="2">
    <cellStyle name="Comma" xfId="1" builtinId="3"/>
    <cellStyle name="Normal" xfId="0" builtinId="0"/>
  </cellStyles>
  <dxfs count="13">
    <dxf>
      <numFmt numFmtId="2" formatCode="0.00"/>
    </dxf>
    <dxf>
      <alignment horizontal="right"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alignment horizontal="right"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Book Antiqua"/>
        <scheme val="none"/>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rgbClr val="0070C0"/>
                    </a:solidFill>
                    <a:latin typeface="Adobe Caslon Pro" panose="0205050205050A020403"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errBars>
            <c:errBarType val="both"/>
            <c:errValType val="stdErr"/>
            <c:noEndCap val="0"/>
            <c:spPr>
              <a:noFill/>
              <a:ln w="9525">
                <a:solidFill>
                  <a:schemeClr val="tx1">
                    <a:lumMod val="65000"/>
                    <a:lumOff val="35000"/>
                  </a:schemeClr>
                </a:solidFill>
                <a:round/>
              </a:ln>
              <a:effectLst/>
            </c:spPr>
          </c:errBars>
          <c:cat>
            <c:strRef>
              <c:f>DATA!$I$2:$I$14</c:f>
              <c:strCache>
                <c:ptCount val="13"/>
                <c:pt idx="0">
                  <c:v>Jan</c:v>
                </c:pt>
                <c:pt idx="1">
                  <c:v>Jan</c:v>
                </c:pt>
                <c:pt idx="2">
                  <c:v>Fab</c:v>
                </c:pt>
                <c:pt idx="3">
                  <c:v>March</c:v>
                </c:pt>
                <c:pt idx="4">
                  <c:v>April</c:v>
                </c:pt>
                <c:pt idx="5">
                  <c:v>May</c:v>
                </c:pt>
                <c:pt idx="6">
                  <c:v>Jun</c:v>
                </c:pt>
                <c:pt idx="7">
                  <c:v>July</c:v>
                </c:pt>
                <c:pt idx="8">
                  <c:v>Aug</c:v>
                </c:pt>
                <c:pt idx="9">
                  <c:v>Sep</c:v>
                </c:pt>
                <c:pt idx="10">
                  <c:v>Oct</c:v>
                </c:pt>
                <c:pt idx="11">
                  <c:v>Nov</c:v>
                </c:pt>
                <c:pt idx="12">
                  <c:v>Dec</c:v>
                </c:pt>
              </c:strCache>
            </c:strRef>
          </c:cat>
          <c:val>
            <c:numRef>
              <c:f>DATA!$K$2:$K$14</c:f>
              <c:numCache>
                <c:formatCode>0.0</c:formatCode>
                <c:ptCount val="13"/>
                <c:pt idx="0">
                  <c:v>1921.7519999999997</c:v>
                </c:pt>
                <c:pt idx="1">
                  <c:v>2156.1119999999996</c:v>
                </c:pt>
                <c:pt idx="2">
                  <c:v>1947.4559999999997</c:v>
                </c:pt>
                <c:pt idx="3">
                  <c:v>2343.6</c:v>
                </c:pt>
                <c:pt idx="4">
                  <c:v>2268</c:v>
                </c:pt>
                <c:pt idx="5">
                  <c:v>2343.6</c:v>
                </c:pt>
                <c:pt idx="6">
                  <c:v>2268</c:v>
                </c:pt>
                <c:pt idx="7">
                  <c:v>1921.7519999999997</c:v>
                </c:pt>
                <c:pt idx="8">
                  <c:v>1921.7519999999997</c:v>
                </c:pt>
                <c:pt idx="9">
                  <c:v>1769.04</c:v>
                </c:pt>
                <c:pt idx="10">
                  <c:v>2156.1119999999996</c:v>
                </c:pt>
                <c:pt idx="11">
                  <c:v>2086.56</c:v>
                </c:pt>
                <c:pt idx="12">
                  <c:v>2156.1119999999996</c:v>
                </c:pt>
              </c:numCache>
            </c:numRef>
          </c:val>
          <c:extLst>
            <c:ext xmlns:c16="http://schemas.microsoft.com/office/drawing/2014/chart" uri="{C3380CC4-5D6E-409C-BE32-E72D297353CC}">
              <c16:uniqueId val="{00000000-A89C-4266-8330-BB412AF99A79}"/>
            </c:ext>
          </c:extLst>
        </c:ser>
        <c:dLbls>
          <c:dLblPos val="outEnd"/>
          <c:showLegendKey val="0"/>
          <c:showVal val="1"/>
          <c:showCatName val="0"/>
          <c:showSerName val="0"/>
          <c:showPercent val="0"/>
          <c:showBubbleSize val="0"/>
        </c:dLbls>
        <c:gapWidth val="444"/>
        <c:overlap val="-90"/>
        <c:axId val="623499088"/>
        <c:axId val="642167912"/>
      </c:barChart>
      <c:catAx>
        <c:axId val="623499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rgbClr val="0070C0"/>
                </a:solidFill>
                <a:latin typeface="Adobe Caslon Pro" panose="0205050205050A020403" pitchFamily="18" charset="0"/>
                <a:ea typeface="+mn-ea"/>
                <a:cs typeface="Times New Roman" panose="02020603050405020304" pitchFamily="18" charset="0"/>
              </a:defRPr>
            </a:pPr>
            <a:endParaRPr lang="en-US"/>
          </a:p>
        </c:txPr>
        <c:crossAx val="642167912"/>
        <c:crosses val="autoZero"/>
        <c:auto val="1"/>
        <c:lblAlgn val="ctr"/>
        <c:lblOffset val="100"/>
        <c:noMultiLvlLbl val="0"/>
      </c:catAx>
      <c:valAx>
        <c:axId val="6421679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0070C0"/>
                </a:solidFill>
                <a:latin typeface="Adobe Caslon Pro" panose="0205050205050A020403" pitchFamily="18" charset="0"/>
                <a:ea typeface="+mn-ea"/>
                <a:cs typeface="Times New Roman" panose="02020603050405020304" pitchFamily="18" charset="0"/>
              </a:defRPr>
            </a:pPr>
            <a:endParaRPr lang="en-US"/>
          </a:p>
        </c:txPr>
        <c:crossAx val="62349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noFill/>
      <a:round/>
    </a:ln>
    <a:effectLst/>
  </c:spPr>
  <c:txPr>
    <a:bodyPr/>
    <a:lstStyle/>
    <a:p>
      <a:pPr>
        <a:defRPr sz="800" b="1">
          <a:solidFill>
            <a:srgbClr val="0070C0"/>
          </a:solidFill>
          <a:latin typeface="Adobe Caslon Pro" panose="0205050205050A020403"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rgbClr val="0070C0"/>
                    </a:solidFill>
                    <a:latin typeface="Adobe Caslon Pro" panose="0205050205050A0204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errBars>
            <c:errBarType val="both"/>
            <c:errValType val="stdErr"/>
            <c:noEndCap val="0"/>
            <c:spPr>
              <a:noFill/>
              <a:ln w="9525">
                <a:solidFill>
                  <a:schemeClr val="tx1">
                    <a:lumMod val="65000"/>
                    <a:lumOff val="35000"/>
                  </a:schemeClr>
                </a:solidFill>
                <a:round/>
              </a:ln>
              <a:effectLst/>
            </c:spPr>
          </c:errBars>
          <c:cat>
            <c:strRef>
              <c:f>DATA!$I$3:$I$14</c:f>
              <c:strCache>
                <c:ptCount val="12"/>
                <c:pt idx="0">
                  <c:v>Jan</c:v>
                </c:pt>
                <c:pt idx="1">
                  <c:v>Fab</c:v>
                </c:pt>
                <c:pt idx="2">
                  <c:v>March</c:v>
                </c:pt>
                <c:pt idx="3">
                  <c:v>April</c:v>
                </c:pt>
                <c:pt idx="4">
                  <c:v>May</c:v>
                </c:pt>
                <c:pt idx="5">
                  <c:v>Jun</c:v>
                </c:pt>
                <c:pt idx="6">
                  <c:v>July</c:v>
                </c:pt>
                <c:pt idx="7">
                  <c:v>Aug</c:v>
                </c:pt>
                <c:pt idx="8">
                  <c:v>Sep</c:v>
                </c:pt>
                <c:pt idx="9">
                  <c:v>Oct</c:v>
                </c:pt>
                <c:pt idx="10">
                  <c:v>Nov</c:v>
                </c:pt>
                <c:pt idx="11">
                  <c:v>Dec</c:v>
                </c:pt>
              </c:strCache>
            </c:strRef>
          </c:cat>
          <c:val>
            <c:numRef>
              <c:f>DATA!$L$3:$L$14</c:f>
              <c:numCache>
                <c:formatCode>0.0</c:formatCode>
                <c:ptCount val="12"/>
                <c:pt idx="0">
                  <c:v>17248.895999999997</c:v>
                </c:pt>
                <c:pt idx="1">
                  <c:v>15579.647999999997</c:v>
                </c:pt>
                <c:pt idx="2">
                  <c:v>18748.8</c:v>
                </c:pt>
                <c:pt idx="3">
                  <c:v>18144</c:v>
                </c:pt>
                <c:pt idx="4">
                  <c:v>18748.8</c:v>
                </c:pt>
                <c:pt idx="5">
                  <c:v>18144</c:v>
                </c:pt>
                <c:pt idx="6">
                  <c:v>15374.015999999998</c:v>
                </c:pt>
                <c:pt idx="7">
                  <c:v>15374.015999999998</c:v>
                </c:pt>
                <c:pt idx="8">
                  <c:v>14152.32</c:v>
                </c:pt>
                <c:pt idx="9">
                  <c:v>17248.895999999997</c:v>
                </c:pt>
                <c:pt idx="10">
                  <c:v>16692.48</c:v>
                </c:pt>
                <c:pt idx="11">
                  <c:v>17248.895999999997</c:v>
                </c:pt>
              </c:numCache>
            </c:numRef>
          </c:val>
          <c:extLst>
            <c:ext xmlns:c16="http://schemas.microsoft.com/office/drawing/2014/chart" uri="{C3380CC4-5D6E-409C-BE32-E72D297353CC}">
              <c16:uniqueId val="{00000000-785A-4BBE-9EC2-C3FE7BA24AC4}"/>
            </c:ext>
          </c:extLst>
        </c:ser>
        <c:dLbls>
          <c:dLblPos val="outEnd"/>
          <c:showLegendKey val="0"/>
          <c:showVal val="1"/>
          <c:showCatName val="0"/>
          <c:showSerName val="0"/>
          <c:showPercent val="0"/>
          <c:showBubbleSize val="0"/>
        </c:dLbls>
        <c:gapWidth val="444"/>
        <c:overlap val="-90"/>
        <c:axId val="623499088"/>
        <c:axId val="642167912"/>
      </c:barChart>
      <c:catAx>
        <c:axId val="623499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rgbClr val="0070C0"/>
                </a:solidFill>
                <a:latin typeface="Adobe Caslon Pro" panose="0205050205050A020403" pitchFamily="18" charset="0"/>
                <a:ea typeface="+mn-ea"/>
                <a:cs typeface="+mn-cs"/>
              </a:defRPr>
            </a:pPr>
            <a:endParaRPr lang="en-US"/>
          </a:p>
        </c:txPr>
        <c:crossAx val="642167912"/>
        <c:crosses val="autoZero"/>
        <c:auto val="1"/>
        <c:lblAlgn val="ctr"/>
        <c:lblOffset val="100"/>
        <c:noMultiLvlLbl val="0"/>
      </c:catAx>
      <c:valAx>
        <c:axId val="6421679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0070C0"/>
                </a:solidFill>
                <a:latin typeface="Adobe Caslon Pro" panose="0205050205050A020403" pitchFamily="18" charset="0"/>
                <a:ea typeface="+mn-ea"/>
                <a:cs typeface="+mn-cs"/>
              </a:defRPr>
            </a:pPr>
            <a:endParaRPr lang="en-US"/>
          </a:p>
        </c:txPr>
        <c:crossAx val="62349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noFill/>
      <a:round/>
    </a:ln>
    <a:effectLst/>
  </c:spPr>
  <c:txPr>
    <a:bodyPr/>
    <a:lstStyle/>
    <a:p>
      <a:pPr>
        <a:defRPr sz="800" b="1">
          <a:solidFill>
            <a:srgbClr val="0070C0"/>
          </a:solidFill>
          <a:latin typeface="Adobe Caslon Pro" panose="0205050205050A0204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Annual vs Cumulative Savingse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QUOTATION!$D$543</c:f>
              <c:strCache>
                <c:ptCount val="1"/>
                <c:pt idx="0">
                  <c:v>Annual Revenue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QUOTATION!$D$544:$D$573</c:f>
              <c:numCache>
                <c:formatCode>"₹"\ #,##0.00</c:formatCode>
                <c:ptCount val="30"/>
                <c:pt idx="0">
                  <c:v>162086.39999999999</c:v>
                </c:pt>
                <c:pt idx="1">
                  <c:v>163610.01215999998</c:v>
                </c:pt>
                <c:pt idx="2">
                  <c:v>167675.72096217598</c:v>
                </c:pt>
                <c:pt idx="3">
                  <c:v>171842.46262808607</c:v>
                </c:pt>
                <c:pt idx="4">
                  <c:v>176112.74782439403</c:v>
                </c:pt>
                <c:pt idx="5">
                  <c:v>180489.14960783022</c:v>
                </c:pt>
                <c:pt idx="6">
                  <c:v>184974.30497558479</c:v>
                </c:pt>
                <c:pt idx="7">
                  <c:v>189570.91645422808</c:v>
                </c:pt>
                <c:pt idx="8">
                  <c:v>194281.75372811564</c:v>
                </c:pt>
                <c:pt idx="9">
                  <c:v>199109.65530825933</c:v>
                </c:pt>
                <c:pt idx="10">
                  <c:v>204057.53024266957</c:v>
                </c:pt>
                <c:pt idx="11">
                  <c:v>209128.35986919992</c:v>
                </c:pt>
                <c:pt idx="12">
                  <c:v>214325.19961194953</c:v>
                </c:pt>
                <c:pt idx="13">
                  <c:v>219651.18082230649</c:v>
                </c:pt>
                <c:pt idx="14">
                  <c:v>225109.51266574083</c:v>
                </c:pt>
                <c:pt idx="15">
                  <c:v>230703.48405548447</c:v>
                </c:pt>
                <c:pt idx="16">
                  <c:v>236436.4656342633</c:v>
                </c:pt>
                <c:pt idx="17">
                  <c:v>242311.91180527469</c:v>
                </c:pt>
                <c:pt idx="18">
                  <c:v>248333.36281363576</c:v>
                </c:pt>
                <c:pt idx="19">
                  <c:v>254504.44687955463</c:v>
                </c:pt>
                <c:pt idx="20">
                  <c:v>260828.88238451158</c:v>
                </c:pt>
                <c:pt idx="21">
                  <c:v>267310.48011176672</c:v>
                </c:pt>
                <c:pt idx="22">
                  <c:v>273953.14554254414</c:v>
                </c:pt>
                <c:pt idx="23">
                  <c:v>280760.88120927638</c:v>
                </c:pt>
                <c:pt idx="24">
                  <c:v>287737.78910732688</c:v>
                </c:pt>
                <c:pt idx="25">
                  <c:v>294888.07316664391</c:v>
                </c:pt>
                <c:pt idx="26">
                  <c:v>302216.04178483505</c:v>
                </c:pt>
                <c:pt idx="27">
                  <c:v>309726.11042318819</c:v>
                </c:pt>
                <c:pt idx="28">
                  <c:v>317422.80426720437</c:v>
                </c:pt>
                <c:pt idx="29">
                  <c:v>325310.76095324446</c:v>
                </c:pt>
              </c:numCache>
            </c:numRef>
          </c:val>
          <c:extLst>
            <c:ext xmlns:c16="http://schemas.microsoft.com/office/drawing/2014/chart" uri="{C3380CC4-5D6E-409C-BE32-E72D297353CC}">
              <c16:uniqueId val="{00000000-AC17-4D66-81EF-7D50E377ACCA}"/>
            </c:ext>
          </c:extLst>
        </c:ser>
        <c:ser>
          <c:idx val="1"/>
          <c:order val="1"/>
          <c:tx>
            <c:strRef>
              <c:f>QUOTATION!$E$543</c:f>
              <c:strCache>
                <c:ptCount val="1"/>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QUOTATION!$E$544:$E$568</c:f>
              <c:numCache>
                <c:formatCode>"₹"\ #,##0.00</c:formatCode>
                <c:ptCount val="25"/>
              </c:numCache>
            </c:numRef>
          </c:val>
          <c:extLst>
            <c:ext xmlns:c16="http://schemas.microsoft.com/office/drawing/2014/chart" uri="{C3380CC4-5D6E-409C-BE32-E72D297353CC}">
              <c16:uniqueId val="{00000001-AC17-4D66-81EF-7D50E377ACCA}"/>
            </c:ext>
          </c:extLst>
        </c:ser>
        <c:dLbls>
          <c:showLegendKey val="0"/>
          <c:showVal val="0"/>
          <c:showCatName val="0"/>
          <c:showSerName val="0"/>
          <c:showPercent val="0"/>
          <c:showBubbleSize val="0"/>
        </c:dLbls>
        <c:gapWidth val="75"/>
        <c:overlap val="-25"/>
        <c:axId val="606722632"/>
        <c:axId val="606722992"/>
      </c:barChart>
      <c:lineChart>
        <c:grouping val="standard"/>
        <c:varyColors val="0"/>
        <c:ser>
          <c:idx val="2"/>
          <c:order val="2"/>
          <c:tx>
            <c:strRef>
              <c:f>QUOTATION!$I$543</c:f>
              <c:strCache>
                <c:ptCount val="1"/>
                <c:pt idx="0">
                  <c:v>Cumulative Savings (₹)</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val>
            <c:numRef>
              <c:f>QUOTATION!$I$544:$I$573</c:f>
              <c:numCache>
                <c:formatCode>"₹"\ #,##0</c:formatCode>
                <c:ptCount val="30"/>
                <c:pt idx="0">
                  <c:v>155699.56080000001</c:v>
                </c:pt>
                <c:pt idx="1">
                  <c:v>312731.12858399999</c:v>
                </c:pt>
                <c:pt idx="2">
                  <c:v>473631.051838896</c:v>
                </c:pt>
                <c:pt idx="3">
                  <c:v>638494.44282848365</c:v>
                </c:pt>
                <c:pt idx="4">
                  <c:v>807418.74686522433</c:v>
                </c:pt>
                <c:pt idx="5">
                  <c:v>980503.79937177151</c:v>
                </c:pt>
                <c:pt idx="6">
                  <c:v>1157851.884333035</c:v>
                </c:pt>
                <c:pt idx="7">
                  <c:v>1339567.7941725119</c:v>
                </c:pt>
                <c:pt idx="8">
                  <c:v>1525758.891087434</c:v>
                </c:pt>
                <c:pt idx="9">
                  <c:v>1716535.169878104</c:v>
                </c:pt>
                <c:pt idx="10">
                  <c:v>1912009.3223076565</c:v>
                </c:pt>
                <c:pt idx="11">
                  <c:v>2112296.8030293458</c:v>
                </c:pt>
                <c:pt idx="12">
                  <c:v>2317515.8971193596</c:v>
                </c:pt>
                <c:pt idx="13">
                  <c:v>2527787.7892540721</c:v>
                </c:pt>
                <c:pt idx="14">
                  <c:v>2743236.6345715909</c:v>
                </c:pt>
                <c:pt idx="15">
                  <c:v>2963989.6312584067</c:v>
                </c:pt>
                <c:pt idx="16">
                  <c:v>3190177.0949029415</c:v>
                </c:pt>
                <c:pt idx="17">
                  <c:v>3421932.5346587957</c:v>
                </c:pt>
                <c:pt idx="18">
                  <c:v>3659392.7312615286</c:v>
                </c:pt>
                <c:pt idx="19">
                  <c:v>3902697.8169438532</c:v>
                </c:pt>
                <c:pt idx="20">
                  <c:v>4151991.3572952179</c:v>
                </c:pt>
                <c:pt idx="21">
                  <c:v>4407420.4351128433</c:v>
                </c:pt>
                <c:pt idx="22">
                  <c:v>4669135.7362924218</c:v>
                </c:pt>
                <c:pt idx="23">
                  <c:v>4937291.6378078433</c:v>
                </c:pt>
                <c:pt idx="24">
                  <c:v>5212046.2978304997</c:v>
                </c:pt>
                <c:pt idx="25">
                  <c:v>5493561.7480399329</c:v>
                </c:pt>
                <c:pt idx="26">
                  <c:v>5782003.9881788408</c:v>
                </c:pt>
                <c:pt idx="27">
                  <c:v>6077543.0829067249</c:v>
                </c:pt>
                <c:pt idx="28">
                  <c:v>6380353.2610077653</c:v>
                </c:pt>
                <c:pt idx="29">
                  <c:v>6690613.0170098608</c:v>
                </c:pt>
              </c:numCache>
            </c:numRef>
          </c:val>
          <c:smooth val="0"/>
          <c:extLst>
            <c:ext xmlns:c16="http://schemas.microsoft.com/office/drawing/2014/chart" uri="{C3380CC4-5D6E-409C-BE32-E72D297353CC}">
              <c16:uniqueId val="{00000002-AC17-4D66-81EF-7D50E377ACCA}"/>
            </c:ext>
          </c:extLst>
        </c:ser>
        <c:dLbls>
          <c:showLegendKey val="0"/>
          <c:showVal val="0"/>
          <c:showCatName val="0"/>
          <c:showSerName val="0"/>
          <c:showPercent val="0"/>
          <c:showBubbleSize val="0"/>
        </c:dLbls>
        <c:marker val="1"/>
        <c:smooth val="0"/>
        <c:axId val="605929912"/>
        <c:axId val="605932792"/>
      </c:lineChart>
      <c:catAx>
        <c:axId val="606722632"/>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722992"/>
        <c:crosses val="autoZero"/>
        <c:auto val="1"/>
        <c:lblAlgn val="ctr"/>
        <c:lblOffset val="100"/>
        <c:noMultiLvlLbl val="0"/>
      </c:catAx>
      <c:valAx>
        <c:axId val="606722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722632"/>
        <c:crosses val="autoZero"/>
        <c:crossBetween val="between"/>
      </c:valAx>
      <c:valAx>
        <c:axId val="605932792"/>
        <c:scaling>
          <c:orientation val="minMax"/>
        </c:scaling>
        <c:delete val="0"/>
        <c:axPos val="r"/>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929912"/>
        <c:crosses val="max"/>
        <c:crossBetween val="between"/>
      </c:valAx>
      <c:catAx>
        <c:axId val="605929912"/>
        <c:scaling>
          <c:orientation val="minMax"/>
        </c:scaling>
        <c:delete val="1"/>
        <c:axPos val="b"/>
        <c:majorTickMark val="none"/>
        <c:minorTickMark val="none"/>
        <c:tickLblPos val="nextTo"/>
        <c:crossAx val="6059327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Yearly Generation vs Tariff</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QUOTATION!$B$543</c:f>
              <c:strCache>
                <c:ptCount val="1"/>
                <c:pt idx="0">
                  <c:v>Generation (kWh)</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val>
            <c:numRef>
              <c:f>QUOTATION!$B$544:$B$573</c:f>
              <c:numCache>
                <c:formatCode>0</c:formatCode>
                <c:ptCount val="30"/>
                <c:pt idx="0">
                  <c:v>20260.8</c:v>
                </c:pt>
                <c:pt idx="1">
                  <c:v>19855.583999999999</c:v>
                </c:pt>
                <c:pt idx="2">
                  <c:v>19756.306079999998</c:v>
                </c:pt>
                <c:pt idx="3">
                  <c:v>19657.524549599999</c:v>
                </c:pt>
                <c:pt idx="4">
                  <c:v>19559.236926851998</c:v>
                </c:pt>
                <c:pt idx="5">
                  <c:v>19461.440742217739</c:v>
                </c:pt>
                <c:pt idx="6">
                  <c:v>19364.133538506649</c:v>
                </c:pt>
                <c:pt idx="7">
                  <c:v>19267.312870814116</c:v>
                </c:pt>
                <c:pt idx="8">
                  <c:v>19170.976306460045</c:v>
                </c:pt>
                <c:pt idx="9">
                  <c:v>19075.121424927744</c:v>
                </c:pt>
                <c:pt idx="10">
                  <c:v>18979.745817803105</c:v>
                </c:pt>
                <c:pt idx="11">
                  <c:v>18884.84708871409</c:v>
                </c:pt>
                <c:pt idx="12">
                  <c:v>18790.42285327052</c:v>
                </c:pt>
                <c:pt idx="13">
                  <c:v>18696.470739004166</c:v>
                </c:pt>
                <c:pt idx="14">
                  <c:v>18602.988385309145</c:v>
                </c:pt>
                <c:pt idx="15">
                  <c:v>18509.973443382598</c:v>
                </c:pt>
                <c:pt idx="16">
                  <c:v>18417.423576165686</c:v>
                </c:pt>
                <c:pt idx="17">
                  <c:v>18325.336458284855</c:v>
                </c:pt>
                <c:pt idx="18">
                  <c:v>18233.70977599343</c:v>
                </c:pt>
                <c:pt idx="19">
                  <c:v>18142.541227113463</c:v>
                </c:pt>
                <c:pt idx="20">
                  <c:v>18051.828520977895</c:v>
                </c:pt>
                <c:pt idx="21">
                  <c:v>17961.569378373006</c:v>
                </c:pt>
                <c:pt idx="22">
                  <c:v>17871.761531481141</c:v>
                </c:pt>
                <c:pt idx="23">
                  <c:v>17782.402723823736</c:v>
                </c:pt>
                <c:pt idx="24">
                  <c:v>17693.490710204616</c:v>
                </c:pt>
                <c:pt idx="25">
                  <c:v>17605.023256653592</c:v>
                </c:pt>
                <c:pt idx="26">
                  <c:v>17516.998140370324</c:v>
                </c:pt>
                <c:pt idx="27">
                  <c:v>17429.413149668471</c:v>
                </c:pt>
                <c:pt idx="28">
                  <c:v>17342.266083920127</c:v>
                </c:pt>
                <c:pt idx="29">
                  <c:v>17255.554753500528</c:v>
                </c:pt>
              </c:numCache>
            </c:numRef>
          </c:val>
          <c:extLst>
            <c:ext xmlns:c16="http://schemas.microsoft.com/office/drawing/2014/chart" uri="{C3380CC4-5D6E-409C-BE32-E72D297353CC}">
              <c16:uniqueId val="{00000000-4044-4699-9B3E-A7844B488BC8}"/>
            </c:ext>
          </c:extLst>
        </c:ser>
        <c:dLbls>
          <c:showLegendKey val="0"/>
          <c:showVal val="0"/>
          <c:showCatName val="0"/>
          <c:showSerName val="0"/>
          <c:showPercent val="0"/>
          <c:showBubbleSize val="0"/>
        </c:dLbls>
        <c:gapWidth val="150"/>
        <c:axId val="543282504"/>
        <c:axId val="543278184"/>
      </c:barChart>
      <c:lineChart>
        <c:grouping val="standard"/>
        <c:varyColors val="0"/>
        <c:ser>
          <c:idx val="1"/>
          <c:order val="1"/>
          <c:tx>
            <c:strRef>
              <c:f>QUOTATION!$C$543</c:f>
              <c:strCache>
                <c:ptCount val="1"/>
                <c:pt idx="0">
                  <c:v>Tariff (₹/kWh)</c:v>
                </c:pt>
              </c:strCache>
            </c:strRef>
          </c:tx>
          <c:spPr>
            <a:ln w="15875" cap="rnd">
              <a:solidFill>
                <a:schemeClr val="accent5"/>
              </a:solidFill>
              <a:round/>
            </a:ln>
            <a:effectLst/>
          </c:spPr>
          <c:marker>
            <c:symbol val="none"/>
          </c:marker>
          <c:val>
            <c:numRef>
              <c:f>QUOTATION!$C$544:$C$573</c:f>
              <c:numCache>
                <c:formatCode>"₹"\ #,##0.00</c:formatCode>
                <c:ptCount val="30"/>
                <c:pt idx="0">
                  <c:v>8</c:v>
                </c:pt>
                <c:pt idx="1">
                  <c:v>8.24</c:v>
                </c:pt>
                <c:pt idx="2">
                  <c:v>8.4871999999999996</c:v>
                </c:pt>
                <c:pt idx="3">
                  <c:v>8.741816</c:v>
                </c:pt>
                <c:pt idx="4">
                  <c:v>9.0040704800000011</c:v>
                </c:pt>
                <c:pt idx="5">
                  <c:v>9.2741925944000005</c:v>
                </c:pt>
                <c:pt idx="6">
                  <c:v>9.5524183722320011</c:v>
                </c:pt>
                <c:pt idx="7">
                  <c:v>9.8389909233989616</c:v>
                </c:pt>
                <c:pt idx="8">
                  <c:v>10.134160651100931</c:v>
                </c:pt>
                <c:pt idx="9">
                  <c:v>10.438185470633959</c:v>
                </c:pt>
                <c:pt idx="10">
                  <c:v>10.751331034752978</c:v>
                </c:pt>
                <c:pt idx="11">
                  <c:v>11.073870965795567</c:v>
                </c:pt>
                <c:pt idx="12">
                  <c:v>11.406087094769434</c:v>
                </c:pt>
                <c:pt idx="13">
                  <c:v>11.748269707612518</c:v>
                </c:pt>
                <c:pt idx="14">
                  <c:v>12.100717798840895</c:v>
                </c:pt>
                <c:pt idx="15">
                  <c:v>12.463739332806123</c:v>
                </c:pt>
                <c:pt idx="16">
                  <c:v>12.837651512790307</c:v>
                </c:pt>
                <c:pt idx="17">
                  <c:v>13.222781058174016</c:v>
                </c:pt>
                <c:pt idx="18">
                  <c:v>13.619464489919237</c:v>
                </c:pt>
                <c:pt idx="19">
                  <c:v>14.028048424616815</c:v>
                </c:pt>
                <c:pt idx="20">
                  <c:v>14.44888987735532</c:v>
                </c:pt>
                <c:pt idx="21">
                  <c:v>14.882356573675981</c:v>
                </c:pt>
                <c:pt idx="22">
                  <c:v>15.328827270886261</c:v>
                </c:pt>
                <c:pt idx="23">
                  <c:v>15.78869208901285</c:v>
                </c:pt>
                <c:pt idx="24">
                  <c:v>16.262352851683236</c:v>
                </c:pt>
                <c:pt idx="25">
                  <c:v>16.750223437233732</c:v>
                </c:pt>
                <c:pt idx="26">
                  <c:v>17.252730140350746</c:v>
                </c:pt>
                <c:pt idx="27">
                  <c:v>17.770312044561269</c:v>
                </c:pt>
                <c:pt idx="28">
                  <c:v>18.303421405898106</c:v>
                </c:pt>
                <c:pt idx="29">
                  <c:v>18.85252404807505</c:v>
                </c:pt>
              </c:numCache>
            </c:numRef>
          </c:val>
          <c:smooth val="0"/>
          <c:extLst>
            <c:ext xmlns:c16="http://schemas.microsoft.com/office/drawing/2014/chart" uri="{C3380CC4-5D6E-409C-BE32-E72D297353CC}">
              <c16:uniqueId val="{00000001-4044-4699-9B3E-A7844B488BC8}"/>
            </c:ext>
          </c:extLst>
        </c:ser>
        <c:dLbls>
          <c:showLegendKey val="0"/>
          <c:showVal val="0"/>
          <c:showCatName val="0"/>
          <c:showSerName val="0"/>
          <c:showPercent val="0"/>
          <c:showBubbleSize val="0"/>
        </c:dLbls>
        <c:marker val="1"/>
        <c:smooth val="0"/>
        <c:axId val="598668272"/>
        <c:axId val="598666472"/>
      </c:lineChart>
      <c:catAx>
        <c:axId val="5432825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43278184"/>
        <c:crosses val="autoZero"/>
        <c:auto val="1"/>
        <c:lblAlgn val="ctr"/>
        <c:lblOffset val="100"/>
        <c:noMultiLvlLbl val="0"/>
      </c:catAx>
      <c:valAx>
        <c:axId val="543278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43282504"/>
        <c:crosses val="autoZero"/>
        <c:crossBetween val="between"/>
      </c:valAx>
      <c:valAx>
        <c:axId val="598666472"/>
        <c:scaling>
          <c:orientation val="minMax"/>
        </c:scaling>
        <c:delete val="0"/>
        <c:axPos val="r"/>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98668272"/>
        <c:crosses val="max"/>
        <c:crossBetween val="between"/>
      </c:valAx>
      <c:catAx>
        <c:axId val="598668272"/>
        <c:scaling>
          <c:orientation val="minMax"/>
        </c:scaling>
        <c:delete val="1"/>
        <c:axPos val="b"/>
        <c:majorTickMark val="none"/>
        <c:minorTickMark val="none"/>
        <c:tickLblPos val="nextTo"/>
        <c:crossAx val="5986664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10767</xdr:colOff>
      <xdr:row>483</xdr:row>
      <xdr:rowOff>8283</xdr:rowOff>
    </xdr:from>
    <xdr:to>
      <xdr:col>4</xdr:col>
      <xdr:colOff>598714</xdr:colOff>
      <xdr:row>495</xdr:row>
      <xdr:rowOff>0</xdr:rowOff>
    </xdr:to>
    <xdr:graphicFrame macro="">
      <xdr:nvGraphicFramePr>
        <xdr:cNvPr id="3" name="Chart 2">
          <a:extLst>
            <a:ext uri="{FF2B5EF4-FFF2-40B4-BE49-F238E27FC236}">
              <a16:creationId xmlns:a16="http://schemas.microsoft.com/office/drawing/2014/main" id="{15E109C2-E4CE-4DB5-8568-1DEBFB99C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606137</xdr:colOff>
      <xdr:row>483</xdr:row>
      <xdr:rowOff>3146</xdr:rowOff>
    </xdr:from>
    <xdr:to>
      <xdr:col>9</xdr:col>
      <xdr:colOff>604632</xdr:colOff>
      <xdr:row>495</xdr:row>
      <xdr:rowOff>0</xdr:rowOff>
    </xdr:to>
    <xdr:graphicFrame macro="">
      <xdr:nvGraphicFramePr>
        <xdr:cNvPr id="4" name="Chart 3">
          <a:extLst>
            <a:ext uri="{FF2B5EF4-FFF2-40B4-BE49-F238E27FC236}">
              <a16:creationId xmlns:a16="http://schemas.microsoft.com/office/drawing/2014/main" id="{0DB68A08-3BBF-4918-9CFC-85D27443E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222249</xdr:colOff>
      <xdr:row>783</xdr:row>
      <xdr:rowOff>174624</xdr:rowOff>
    </xdr:from>
    <xdr:to>
      <xdr:col>3</xdr:col>
      <xdr:colOff>298450</xdr:colOff>
      <xdr:row>790</xdr:row>
      <xdr:rowOff>59736</xdr:rowOff>
    </xdr:to>
    <xdr:pic>
      <xdr:nvPicPr>
        <xdr:cNvPr id="6" name="Picture 5">
          <a:extLst>
            <a:ext uri="{FF2B5EF4-FFF2-40B4-BE49-F238E27FC236}">
              <a16:creationId xmlns:a16="http://schemas.microsoft.com/office/drawing/2014/main" id="{1595F511-66C4-5F80-F653-1BA4B61653A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33437" y="46069249"/>
          <a:ext cx="1317626" cy="1218613"/>
        </a:xfrm>
        <a:prstGeom prst="rect">
          <a:avLst/>
        </a:prstGeom>
      </xdr:spPr>
    </xdr:pic>
    <xdr:clientData/>
  </xdr:twoCellAnchor>
  <xdr:twoCellAnchor>
    <xdr:from>
      <xdr:col>3</xdr:col>
      <xdr:colOff>212909</xdr:colOff>
      <xdr:row>0</xdr:row>
      <xdr:rowOff>0</xdr:rowOff>
    </xdr:from>
    <xdr:to>
      <xdr:col>6</xdr:col>
      <xdr:colOff>437028</xdr:colOff>
      <xdr:row>10</xdr:row>
      <xdr:rowOff>152400</xdr:rowOff>
    </xdr:to>
    <xdr:sp macro="" textlink="">
      <xdr:nvSpPr>
        <xdr:cNvPr id="8" name="Rectangle 7">
          <a:extLst>
            <a:ext uri="{FF2B5EF4-FFF2-40B4-BE49-F238E27FC236}">
              <a16:creationId xmlns:a16="http://schemas.microsoft.com/office/drawing/2014/main" id="{1F657D25-6DA4-43B0-8800-FF75062FB735}"/>
            </a:ext>
          </a:extLst>
        </xdr:cNvPr>
        <xdr:cNvSpPr/>
      </xdr:nvSpPr>
      <xdr:spPr>
        <a:xfrm>
          <a:off x="2070284" y="0"/>
          <a:ext cx="2081494" cy="2057400"/>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6925</xdr:colOff>
      <xdr:row>590</xdr:row>
      <xdr:rowOff>177515</xdr:rowOff>
    </xdr:from>
    <xdr:to>
      <xdr:col>9</xdr:col>
      <xdr:colOff>9525</xdr:colOff>
      <xdr:row>607</xdr:row>
      <xdr:rowOff>171450</xdr:rowOff>
    </xdr:to>
    <xdr:graphicFrame macro="">
      <xdr:nvGraphicFramePr>
        <xdr:cNvPr id="7" name="Chart 6">
          <a:extLst>
            <a:ext uri="{FF2B5EF4-FFF2-40B4-BE49-F238E27FC236}">
              <a16:creationId xmlns:a16="http://schemas.microsoft.com/office/drawing/2014/main" id="{A2476767-597C-B268-9296-7D6443C9E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614792</xdr:colOff>
      <xdr:row>575</xdr:row>
      <xdr:rowOff>4</xdr:rowOff>
    </xdr:from>
    <xdr:to>
      <xdr:col>9</xdr:col>
      <xdr:colOff>9524</xdr:colOff>
      <xdr:row>587</xdr:row>
      <xdr:rowOff>190499</xdr:rowOff>
    </xdr:to>
    <xdr:graphicFrame macro="">
      <xdr:nvGraphicFramePr>
        <xdr:cNvPr id="9" name="Chart 8">
          <a:extLst>
            <a:ext uri="{FF2B5EF4-FFF2-40B4-BE49-F238E27FC236}">
              <a16:creationId xmlns:a16="http://schemas.microsoft.com/office/drawing/2014/main" id="{62BD6053-3385-A96F-17E6-3F376CAC6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U3:AG34" totalsRowCount="1" headerRowDxfId="12">
  <autoFilter ref="U3:AG33" xr:uid="{00000000-0009-0000-0100-000002000000}"/>
  <tableColumns count="13">
    <tableColumn id="1" xr3:uid="{00000000-0010-0000-0000-000001000000}" name="SR NO" totalsRowLabel="31" dataDxfId="11" totalsRowDxfId="4"/>
    <tableColumn id="2" xr3:uid="{00000000-0010-0000-0000-000002000000}" name="ITEM HEAD"/>
    <tableColumn id="13" xr3:uid="{00000000-0010-0000-0000-00000D000000}" name="ITEM TYPE"/>
    <tableColumn id="3" xr3:uid="{00000000-0010-0000-0000-000003000000}" name="ITEM NAME"/>
    <tableColumn id="4" xr3:uid="{00000000-0010-0000-0000-000004000000}" name="ITEM MAKE"/>
    <tableColumn id="5" xr3:uid="{00000000-0010-0000-0000-000005000000}" name="DESCRIPTION" dataDxfId="10" totalsRowDxfId="3"/>
    <tableColumn id="6" xr3:uid="{00000000-0010-0000-0000-000006000000}" name="UNIT" dataDxfId="9" totalsRowDxfId="2"/>
    <tableColumn id="7" xr3:uid="{00000000-0010-0000-0000-000007000000}" name="RATE W/O GST" dataDxfId="8" totalsRowDxfId="1"/>
    <tableColumn id="8" xr3:uid="{00000000-0010-0000-0000-000008000000}" name="QTY"/>
    <tableColumn id="9" xr3:uid="{00000000-0010-0000-0000-000009000000}" name="TOTAL" dataDxfId="7">
      <calculatedColumnFormula>Table2[[#This Row],[QTY]]*Table2[[#This Row],[RATE W/O GST]]</calculatedColumnFormula>
    </tableColumn>
    <tableColumn id="10" xr3:uid="{00000000-0010-0000-0000-00000A000000}" name="GST %"/>
    <tableColumn id="11" xr3:uid="{00000000-0010-0000-0000-00000B000000}" name="TOTAL GST" dataDxfId="6">
      <calculatedColumnFormula>Table2[[#This Row],[TOTAL]]*Table2[[#This Row],[GST %]]</calculatedColumnFormula>
    </tableColumn>
    <tableColumn id="12" xr3:uid="{00000000-0010-0000-0000-00000C000000}" name="RATE WITH GST" totalsRowFunction="custom" dataDxfId="5" totalsRowDxfId="0">
      <calculatedColumnFormula>Table2[[#This Row],[TOTAL GST]]+Table2[[#This Row],[TOTAL]]</calculatedColumnFormula>
      <totalsRowFormula>AG32*AG33</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BN842"/>
  <sheetViews>
    <sheetView tabSelected="1" topLeftCell="Y4" zoomScale="110" zoomScaleNormal="110" zoomScaleSheetLayoutView="100" workbookViewId="0">
      <selection activeCell="AH4" sqref="AH4"/>
    </sheetView>
  </sheetViews>
  <sheetFormatPr defaultRowHeight="15" customHeight="1" x14ac:dyDescent="0.25"/>
  <cols>
    <col min="1" max="10" width="9.28515625" customWidth="1"/>
    <col min="11" max="20" width="9.140625" customWidth="1"/>
    <col min="21" max="21" width="9.140625" style="92" customWidth="1"/>
    <col min="22" max="22" width="30.28515625" bestFit="1" customWidth="1"/>
    <col min="23" max="23" width="50.5703125" bestFit="1" customWidth="1"/>
    <col min="24" max="24" width="66.140625" bestFit="1" customWidth="1"/>
    <col min="25" max="25" width="35.5703125" bestFit="1" customWidth="1"/>
    <col min="26" max="26" width="31" style="85" customWidth="1"/>
    <col min="27" max="27" width="11.42578125" style="92" bestFit="1" customWidth="1"/>
    <col min="28" max="28" width="17.140625" style="92" customWidth="1"/>
    <col min="29" max="29" width="10.85546875" bestFit="1" customWidth="1"/>
    <col min="30" max="30" width="15.140625" bestFit="1" customWidth="1"/>
    <col min="31" max="31" width="12.5703125" bestFit="1" customWidth="1"/>
    <col min="32" max="32" width="18.5703125" bestFit="1" customWidth="1"/>
    <col min="33" max="33" width="23.85546875" bestFit="1" customWidth="1"/>
    <col min="34" max="34" width="30.28515625" style="104" bestFit="1" customWidth="1"/>
  </cols>
  <sheetData>
    <row r="1" spans="1:34" ht="15" customHeight="1" x14ac:dyDescent="0.25">
      <c r="A1" s="79"/>
      <c r="B1" s="79"/>
      <c r="C1" s="80"/>
      <c r="D1" s="80"/>
      <c r="E1" s="80"/>
      <c r="F1" s="80"/>
      <c r="G1" s="80"/>
      <c r="H1" s="80"/>
      <c r="I1" s="80"/>
      <c r="J1" s="80"/>
      <c r="W1" s="109" t="s">
        <v>756</v>
      </c>
      <c r="X1" s="109" t="s">
        <v>209</v>
      </c>
      <c r="Y1" s="109" t="s">
        <v>757</v>
      </c>
      <c r="Z1" s="110" t="s">
        <v>758</v>
      </c>
    </row>
    <row r="2" spans="1:34" ht="15" customHeight="1" x14ac:dyDescent="0.25">
      <c r="A2" s="79"/>
      <c r="B2" s="79"/>
      <c r="C2" s="80"/>
      <c r="D2" s="80"/>
      <c r="E2" s="80"/>
      <c r="F2" s="80"/>
      <c r="G2" s="80"/>
      <c r="H2" s="80"/>
      <c r="I2" s="80"/>
      <c r="J2" s="80"/>
      <c r="W2" s="109">
        <v>630</v>
      </c>
      <c r="X2" s="109">
        <v>24</v>
      </c>
      <c r="Y2" s="109">
        <f>X2*W2</f>
        <v>15120</v>
      </c>
      <c r="Z2" s="111">
        <f>Y2/1000</f>
        <v>15.12</v>
      </c>
    </row>
    <row r="3" spans="1:34" ht="15" customHeight="1" x14ac:dyDescent="0.25">
      <c r="A3" s="79"/>
      <c r="B3" s="79"/>
      <c r="C3" s="80"/>
      <c r="D3" s="80"/>
      <c r="E3" s="80"/>
      <c r="F3" s="80"/>
      <c r="G3" s="80"/>
      <c r="H3" s="80"/>
      <c r="I3" s="80"/>
      <c r="J3" s="80"/>
      <c r="U3" s="103" t="s">
        <v>208</v>
      </c>
      <c r="V3" s="103" t="s">
        <v>713</v>
      </c>
      <c r="W3" s="103" t="s">
        <v>817</v>
      </c>
      <c r="X3" s="103" t="s">
        <v>107</v>
      </c>
      <c r="Y3" s="103" t="s">
        <v>717</v>
      </c>
      <c r="Z3" s="103" t="s">
        <v>691</v>
      </c>
      <c r="AA3" s="103" t="s">
        <v>128</v>
      </c>
      <c r="AB3" s="103" t="s">
        <v>94</v>
      </c>
      <c r="AC3" s="103" t="s">
        <v>722</v>
      </c>
      <c r="AD3" s="103" t="s">
        <v>210</v>
      </c>
      <c r="AE3" s="103" t="s">
        <v>715</v>
      </c>
      <c r="AF3" s="103" t="s">
        <v>716</v>
      </c>
      <c r="AG3" s="103" t="s">
        <v>139</v>
      </c>
      <c r="AH3" s="106" t="s">
        <v>713</v>
      </c>
    </row>
    <row r="4" spans="1:34" ht="15" customHeight="1" x14ac:dyDescent="0.25">
      <c r="A4" s="79"/>
      <c r="B4" s="79"/>
      <c r="C4" s="80"/>
      <c r="D4" s="80"/>
      <c r="E4" s="80"/>
      <c r="F4" s="80"/>
      <c r="G4" s="80"/>
      <c r="H4" s="80"/>
      <c r="I4" s="80"/>
      <c r="J4" s="80"/>
      <c r="U4" s="92">
        <v>1</v>
      </c>
      <c r="V4" t="s">
        <v>637</v>
      </c>
      <c r="W4" t="s">
        <v>536</v>
      </c>
      <c r="X4" t="str">
        <f>Table2[[#This Row],[ITEM TYPE]]</f>
        <v>TOPCON BI - FACIAL PV MODULE</v>
      </c>
      <c r="Y4" t="s">
        <v>911</v>
      </c>
      <c r="Z4" s="85" t="str">
        <f>VLOOKUP(W4,Inventry!B2:F206,3,FALSE)</f>
        <v>TOPCon (Tunnel Oxide Passivated Contact) bi-facial PV modules are next-generation high-efficiency solar panels that generate power from both front and rear surfaces. These modules utilize advanced n-type cell technology, offering higher efficiency, better low-light performance, and lower degradation rates compared to traditional PERC modules. With bifacial gain ranging from 5% to 25% depending on site conditions, TOPCon modules deliver superior energy output and long-term reliability—ideal for commercial, industrial, and utility-scale installations.</v>
      </c>
      <c r="AA4" s="92" t="str">
        <f>VLOOKUP(W4,Inventry!B2:F206,4,FALSE)</f>
        <v>WP</v>
      </c>
      <c r="AB4" s="101">
        <f>VLOOKUP(W4,Inventry!B2:F206,5,FALSE)</f>
        <v>18</v>
      </c>
      <c r="AC4" s="14">
        <f>Y2</f>
        <v>15120</v>
      </c>
      <c r="AD4">
        <f>Table2[[#This Row],[QTY]]*Table2[[#This Row],[RATE W/O GST]]</f>
        <v>272160</v>
      </c>
      <c r="AE4" s="17">
        <v>0.05</v>
      </c>
      <c r="AF4">
        <f>Table2[[#This Row],[TOTAL]]*Table2[[#This Row],[GST %]]</f>
        <v>13608</v>
      </c>
      <c r="AG4" s="14">
        <f>Table2[[#This Row],[TOTAL GST]]+Table2[[#This Row],[TOTAL]]</f>
        <v>285768</v>
      </c>
      <c r="AH4" s="101" t="s">
        <v>637</v>
      </c>
    </row>
    <row r="5" spans="1:34" ht="15" customHeight="1" x14ac:dyDescent="0.25">
      <c r="A5" s="79"/>
      <c r="B5" s="79"/>
      <c r="C5" s="80"/>
      <c r="D5" s="80"/>
      <c r="E5" s="80"/>
      <c r="F5" s="80"/>
      <c r="G5" s="80"/>
      <c r="H5" s="80"/>
      <c r="I5" s="80"/>
      <c r="J5" s="80"/>
      <c r="U5" s="92">
        <v>2</v>
      </c>
      <c r="V5" t="s">
        <v>211</v>
      </c>
      <c r="W5" t="s">
        <v>90</v>
      </c>
      <c r="X5" t="s">
        <v>915</v>
      </c>
      <c r="Y5" t="str">
        <f>VLOOKUP(X5,Inventry!B3:F207,2,FALSE)</f>
        <v>SOLARYAAN</v>
      </c>
      <c r="Z5" s="85" t="str">
        <f>VLOOKUP(X5,Inventry!B3:F207,3,FALSE)</f>
        <v>HIGH YIELD - Lower startup &amp; wider MPPT voltage
EASY AND USER FRIENDLY - Fast and easy commissioning via iSolarCloud App
SAFE AND RELIABLE 
Build-in Type II DC &amp; AC SPD
C5 anti-corrosion &amp; IP65
Remote firmware updates</v>
      </c>
      <c r="AA5" s="92" t="str">
        <f>VLOOKUP(X5,Inventry!B3:F207,4,FALSE)</f>
        <v>Nos</v>
      </c>
      <c r="AB5" s="101">
        <f>VLOOKUP(X5,Inventry!B3:F207,5,FALSE)</f>
        <v>61000</v>
      </c>
      <c r="AC5" s="14">
        <v>1</v>
      </c>
      <c r="AD5">
        <f>Table2[[#This Row],[QTY]]*Table2[[#This Row],[RATE W/O GST]]</f>
        <v>61000</v>
      </c>
      <c r="AE5" s="17">
        <v>0.05</v>
      </c>
      <c r="AF5">
        <f>Table2[[#This Row],[TOTAL]]*Table2[[#This Row],[GST %]]</f>
        <v>3050</v>
      </c>
      <c r="AG5" s="14">
        <f>Table2[[#This Row],[TOTAL GST]]+Table2[[#This Row],[TOTAL]]</f>
        <v>64050</v>
      </c>
      <c r="AH5" s="101" t="s">
        <v>211</v>
      </c>
    </row>
    <row r="6" spans="1:34" ht="15" customHeight="1" x14ac:dyDescent="0.25">
      <c r="A6" s="79"/>
      <c r="B6" s="79"/>
      <c r="C6" s="80"/>
      <c r="D6" s="80"/>
      <c r="E6" s="80"/>
      <c r="F6" s="80"/>
      <c r="G6" s="80"/>
      <c r="H6" s="80"/>
      <c r="I6" s="80"/>
      <c r="J6" s="80"/>
      <c r="U6" s="92">
        <v>3</v>
      </c>
      <c r="V6" s="102" t="s">
        <v>368</v>
      </c>
      <c r="W6" s="102" t="s">
        <v>520</v>
      </c>
      <c r="X6" t="s">
        <v>718</v>
      </c>
      <c r="Y6" t="str">
        <f>VLOOKUP(X6,Inventry!B4:F208,2,FALSE)</f>
        <v>HINDUSTAR</v>
      </c>
      <c r="Z6" s="85" t="str">
        <f>VLOOKUP(X6,Inventry!B4:F208,3,FALSE)</f>
        <v>60 Micrones Hot Dip Galvanized (GI) pipes with 2MM Thickness are steel pipes coated with a layer of zinc through a hot-dip process, providing superior corrosion resistance and long-term durability. These pipes are commonly used in solar mounting structures due to their strength, weather resistance, and maintenance-free performance. Ideal for outdoor solar installations, GI pipes ensure structural stability and extended service life in diverse environmental conditions.</v>
      </c>
      <c r="AA6" s="92" t="str">
        <f>VLOOKUP(X6,Inventry!B4:F208,4,FALSE)</f>
        <v>KG</v>
      </c>
      <c r="AB6" s="101">
        <f>VLOOKUP(X6,Inventry!B4:F208,5,FALSE)</f>
        <v>68</v>
      </c>
      <c r="AC6" s="14">
        <v>670</v>
      </c>
      <c r="AD6" s="15">
        <f>Table2[[#This Row],[QTY]]*Table2[[#This Row],[RATE W/O GST]]</f>
        <v>45560</v>
      </c>
      <c r="AE6" s="17">
        <v>0.18</v>
      </c>
      <c r="AF6">
        <f>Table2[[#This Row],[TOTAL]]*Table2[[#This Row],[GST %]]</f>
        <v>8200.7999999999993</v>
      </c>
      <c r="AG6" s="14">
        <f>Table2[[#This Row],[TOTAL GST]]+Table2[[#This Row],[TOTAL]]</f>
        <v>53760.800000000003</v>
      </c>
      <c r="AH6" s="101" t="s">
        <v>368</v>
      </c>
    </row>
    <row r="7" spans="1:34" ht="15" customHeight="1" x14ac:dyDescent="0.25">
      <c r="A7" s="79"/>
      <c r="B7" s="79"/>
      <c r="C7" s="80"/>
      <c r="D7" s="80"/>
      <c r="E7" s="80"/>
      <c r="F7" s="80"/>
      <c r="G7" s="80"/>
      <c r="H7" s="80"/>
      <c r="I7" s="80"/>
      <c r="J7" s="80"/>
      <c r="U7" s="92">
        <v>4</v>
      </c>
      <c r="V7" s="102"/>
      <c r="W7" s="102"/>
      <c r="X7" t="s">
        <v>719</v>
      </c>
      <c r="Y7" t="str">
        <f>VLOOKUP(X7,Inventry!B5:F209,2,FALSE)</f>
        <v>HINDUSTAR</v>
      </c>
      <c r="Z7" s="85" t="str">
        <f>VLOOKUP(X7,Inventry!B5:F209,3,FALSE)</f>
        <v>60 Micrones Hot Dip Galvanized (GI) pipes with 2MM Thickness are steel pipes coated with a layer of zinc through a hot-dip process, providing superior corrosion resistance and long-term durability. These pipes are commonly used in solar mounting structures due to their strength, weather resistance, and maintenance-free performance. Ideal for outdoor solar installations, GI pipes ensure structural stability and extended service life in diverse environmental conditions.</v>
      </c>
      <c r="AA7" s="92" t="str">
        <f>VLOOKUP(X7,Inventry!B5:F209,4,FALSE)</f>
        <v>KG</v>
      </c>
      <c r="AB7" s="101">
        <f>VLOOKUP(X7,Inventry!B5:F209,5,FALSE)</f>
        <v>67</v>
      </c>
      <c r="AC7" s="14">
        <v>670</v>
      </c>
      <c r="AD7" s="15">
        <f>Table2[[#This Row],[QTY]]*Table2[[#This Row],[RATE W/O GST]]</f>
        <v>44890</v>
      </c>
      <c r="AE7" s="17">
        <v>0.18</v>
      </c>
      <c r="AF7">
        <f>Table2[[#This Row],[TOTAL]]*Table2[[#This Row],[GST %]]</f>
        <v>8080.2</v>
      </c>
      <c r="AG7" s="14">
        <f>Table2[[#This Row],[TOTAL GST]]+Table2[[#This Row],[TOTAL]]</f>
        <v>52970.2</v>
      </c>
      <c r="AH7" s="101"/>
    </row>
    <row r="8" spans="1:34" ht="15" customHeight="1" x14ac:dyDescent="0.25">
      <c r="A8" s="79"/>
      <c r="B8" s="79"/>
      <c r="C8" s="80"/>
      <c r="D8" s="80"/>
      <c r="E8" s="80"/>
      <c r="F8" s="80"/>
      <c r="G8" s="80"/>
      <c r="H8" s="80"/>
      <c r="I8" s="80"/>
      <c r="J8" s="80"/>
      <c r="U8" s="92">
        <v>5</v>
      </c>
      <c r="V8" s="102"/>
      <c r="W8" s="102"/>
      <c r="X8" t="s">
        <v>588</v>
      </c>
      <c r="Y8" t="str">
        <f>VLOOKUP(X8,Inventry!B6:F210,2,FALSE)</f>
        <v>From reputed Manufacturer</v>
      </c>
      <c r="Z8" s="85" t="str">
        <f>VLOOKUP(X8,Inventry!B6:F210,3,FALSE)</f>
        <v>The Solar Mono Rail Structure is a streamlined, single-rail mounting system designed for quick and secure installation of solar PV modules. Made from high-strength aluminum or galvanized steel, it offers lightweight construction, corrosion resistance, and structural stability. Ideal for rooftop and ground-mounted systems, mono rail structures reduce installation time and material usage while ensuring optimal panel alignment and wind resistance.</v>
      </c>
      <c r="AA8" s="92" t="str">
        <f>VLOOKUP(X8,Inventry!B6:F210,4,FALSE)</f>
        <v>KW</v>
      </c>
      <c r="AB8" s="101">
        <f>VLOOKUP(X8,Inventry!B6:F210,5,FALSE)</f>
        <v>900</v>
      </c>
      <c r="AC8" s="14">
        <v>0</v>
      </c>
      <c r="AD8">
        <f>Table2[[#This Row],[QTY]]*Table2[[#This Row],[RATE W/O GST]]</f>
        <v>0</v>
      </c>
      <c r="AE8" s="17">
        <v>0.18</v>
      </c>
      <c r="AF8">
        <f>Table2[[#This Row],[TOTAL]]*Table2[[#This Row],[GST %]]</f>
        <v>0</v>
      </c>
      <c r="AG8" s="14">
        <f>Table2[[#This Row],[TOTAL GST]]+Table2[[#This Row],[TOTAL]]</f>
        <v>0</v>
      </c>
      <c r="AH8" s="101"/>
    </row>
    <row r="9" spans="1:34" ht="15" customHeight="1" x14ac:dyDescent="0.25">
      <c r="A9" s="79"/>
      <c r="B9" s="79"/>
      <c r="C9" s="80"/>
      <c r="D9" s="80"/>
      <c r="E9" s="80"/>
      <c r="F9" s="80"/>
      <c r="G9" s="80"/>
      <c r="H9" s="80"/>
      <c r="I9" s="80"/>
      <c r="J9" s="80"/>
      <c r="U9" s="92">
        <v>6</v>
      </c>
      <c r="V9" t="s">
        <v>213</v>
      </c>
      <c r="X9" t="s">
        <v>737</v>
      </c>
      <c r="Y9" t="str">
        <f>VLOOKUP(X9,Inventry!B7:F211,2,FALSE)</f>
        <v>MS MATERIAL</v>
      </c>
      <c r="Z9" s="85" t="str">
        <f>VLOOKUP(X9,Inventry!B7:F211,3,FALSE)</f>
        <v>Supply and installation of MS Base Plate, size 125mm x 125mm x 3mm thickness (MS make), fabricated from mild steel with anti-corrosive coating. Suitable for mounting and anchoring of solar module structures on various surfaces.</v>
      </c>
      <c r="AA9" s="92" t="str">
        <f>VLOOKUP(X9,Inventry!B7:F211,4,FALSE)</f>
        <v>NOS</v>
      </c>
      <c r="AB9" s="101">
        <f>VLOOKUP(X9,Inventry!B7:F211,5,FALSE)</f>
        <v>33</v>
      </c>
      <c r="AC9" s="14">
        <v>12</v>
      </c>
      <c r="AD9">
        <f>Table2[[#This Row],[QTY]]*Table2[[#This Row],[RATE W/O GST]]</f>
        <v>396</v>
      </c>
      <c r="AE9" s="17">
        <v>0.18</v>
      </c>
      <c r="AF9">
        <f>Table2[[#This Row],[TOTAL]]*Table2[[#This Row],[GST %]]</f>
        <v>71.28</v>
      </c>
      <c r="AG9" s="14">
        <f>Table2[[#This Row],[TOTAL GST]]+Table2[[#This Row],[TOTAL]]</f>
        <v>467.28</v>
      </c>
      <c r="AH9" s="101" t="s">
        <v>213</v>
      </c>
    </row>
    <row r="10" spans="1:34" ht="15" customHeight="1" x14ac:dyDescent="0.25">
      <c r="A10" s="79"/>
      <c r="B10" s="79"/>
      <c r="C10" s="80"/>
      <c r="D10" s="80"/>
      <c r="E10" s="80"/>
      <c r="F10" s="80"/>
      <c r="G10" s="80"/>
      <c r="H10" s="80"/>
      <c r="I10" s="80"/>
      <c r="J10" s="80"/>
      <c r="U10" s="92">
        <v>7</v>
      </c>
      <c r="V10" t="s">
        <v>215</v>
      </c>
      <c r="X10" t="s">
        <v>593</v>
      </c>
      <c r="Y10" t="str">
        <f>VLOOKUP(X10,Inventry!B8:F212,2,FALSE)</f>
        <v>SS 304 MATERIAL</v>
      </c>
      <c r="Z10" s="85" t="str">
        <f>VLOOKUP(X10,Inventry!B8:F212,3,FALSE)</f>
        <v>Supply and installation of J Bolt – size 60mm x 40mm (SS 304 make), manufactured from high-strength galvanized steel. Suitable for anchoring solar mounting structures securely to RCC rooftops or foundations, ensuring structural stability.</v>
      </c>
      <c r="AA10" s="92" t="str">
        <f>VLOOKUP(X10,Inventry!B8:F212,4,FALSE)</f>
        <v>NOS</v>
      </c>
      <c r="AB10" s="101">
        <f>VLOOKUP(X10,Inventry!B8:F212,5,FALSE)</f>
        <v>13.5</v>
      </c>
      <c r="AC10" s="14">
        <f>X2*4</f>
        <v>96</v>
      </c>
      <c r="AD10">
        <f>Table2[[#This Row],[QTY]]*Table2[[#This Row],[RATE W/O GST]]</f>
        <v>1296</v>
      </c>
      <c r="AE10" s="17">
        <v>0.18</v>
      </c>
      <c r="AF10">
        <f>Table2[[#This Row],[TOTAL]]*Table2[[#This Row],[GST %]]</f>
        <v>233.28</v>
      </c>
      <c r="AG10" s="14">
        <f>Table2[[#This Row],[TOTAL GST]]+Table2[[#This Row],[TOTAL]]</f>
        <v>1529.28</v>
      </c>
      <c r="AH10" s="101" t="s">
        <v>215</v>
      </c>
    </row>
    <row r="11" spans="1:34" ht="15" customHeight="1" x14ac:dyDescent="0.25">
      <c r="A11" s="79"/>
      <c r="B11" s="79"/>
      <c r="C11" s="80"/>
      <c r="D11" s="80"/>
      <c r="E11" s="80"/>
      <c r="F11" s="80"/>
      <c r="G11" s="80"/>
      <c r="H11" s="80"/>
      <c r="I11" s="80"/>
      <c r="J11" s="80"/>
      <c r="U11" s="92">
        <v>8</v>
      </c>
      <c r="V11" t="s">
        <v>214</v>
      </c>
      <c r="X11" t="s">
        <v>594</v>
      </c>
      <c r="Y11" t="str">
        <f>VLOOKUP(X11,Inventry!B9:F213,2,FALSE)</f>
        <v>SS 304 MATERIAL</v>
      </c>
      <c r="Z11" s="85" t="str">
        <f>VLOOKUP(X11,Inventry!B9:F213,3,FALSE)</f>
        <v>Supply and installation of Wedge Anchor Bolt (SS 304 make), heavy-duty, galvanized steel fastener suitable for anchoring solar mounting structures to RCC surfaces. Provides high pull-out strength, durability, and long-term structural stability in rooftop solar installations.</v>
      </c>
      <c r="AA11" s="92" t="str">
        <f>VLOOKUP(X11,Inventry!B9:F213,4,FALSE)</f>
        <v>NOS</v>
      </c>
      <c r="AB11" s="101">
        <f>VLOOKUP(X11,Inventry!B9:F213,5,FALSE)</f>
        <v>9.5</v>
      </c>
      <c r="AC11" s="14">
        <f>AC9*4.5</f>
        <v>54</v>
      </c>
      <c r="AD11">
        <f>Table2[[#This Row],[QTY]]*Table2[[#This Row],[RATE W/O GST]]</f>
        <v>513</v>
      </c>
      <c r="AE11" s="17">
        <v>0.18</v>
      </c>
      <c r="AF11">
        <f>Table2[[#This Row],[TOTAL]]*Table2[[#This Row],[GST %]]</f>
        <v>92.34</v>
      </c>
      <c r="AG11" s="14">
        <f>Table2[[#This Row],[TOTAL GST]]+Table2[[#This Row],[TOTAL]]</f>
        <v>605.34</v>
      </c>
      <c r="AH11" s="101" t="s">
        <v>214</v>
      </c>
    </row>
    <row r="12" spans="1:34" ht="15" customHeight="1" x14ac:dyDescent="0.25">
      <c r="A12" s="181" t="s">
        <v>493</v>
      </c>
      <c r="B12" s="181"/>
      <c r="C12" s="181"/>
      <c r="D12" s="181"/>
      <c r="E12" s="181"/>
      <c r="F12" s="181"/>
      <c r="G12" s="181"/>
      <c r="H12" s="181"/>
      <c r="I12" s="181"/>
      <c r="J12" s="181"/>
      <c r="U12" s="92">
        <v>9</v>
      </c>
      <c r="V12" t="s">
        <v>100</v>
      </c>
      <c r="W12" t="s">
        <v>838</v>
      </c>
      <c r="X12" t="s">
        <v>885</v>
      </c>
      <c r="Y12" t="str">
        <f>VLOOKUP(X12,Inventry!B10:F214,2,FALSE)</f>
        <v>MCB - SCHNEIDER / LK (L&amp;T)
SPD - FINDER
ENCLOSER - (Note - ABS used till 50-60 kW)</v>
      </c>
      <c r="Z12" s="85" t="str">
        <f>VLOOKUP(X12,Inventry!B10:F214,3,FALSE)</f>
        <v>The AC Distribution Box (ACDB) is a vital component for managing and protecting the AC output from the solar inverter. It is equipped with:
MCB &amp; MCCB for short-circuit and overload protection
SPD (Surge Protection Device) to guard against voltage surges
This fully integrated ACDB ensures safe, stable, and efficient operation of solar power systems, suitable for residential, commercial, and industrial applications.</v>
      </c>
      <c r="AA12" s="92" t="str">
        <f>VLOOKUP(X12,Inventry!B10:F214,4,FALSE)</f>
        <v>wp</v>
      </c>
      <c r="AB12" s="101">
        <f>VLOOKUP(X12,Inventry!B10:F214,5,FALSE)</f>
        <v>0.5</v>
      </c>
      <c r="AC12" s="14">
        <f>AC4</f>
        <v>15120</v>
      </c>
      <c r="AD12">
        <f>Table2[[#This Row],[QTY]]*Table2[[#This Row],[RATE W/O GST]]</f>
        <v>7560</v>
      </c>
      <c r="AE12" s="17">
        <v>0.18</v>
      </c>
      <c r="AF12">
        <f>Table2[[#This Row],[TOTAL]]*Table2[[#This Row],[GST %]]</f>
        <v>1360.8</v>
      </c>
      <c r="AG12" s="14">
        <f>Table2[[#This Row],[TOTAL GST]]+Table2[[#This Row],[TOTAL]]</f>
        <v>8920.7999999999993</v>
      </c>
      <c r="AH12" s="101" t="s">
        <v>100</v>
      </c>
    </row>
    <row r="13" spans="1:34" ht="15" customHeight="1" x14ac:dyDescent="0.25">
      <c r="A13" s="181"/>
      <c r="B13" s="181"/>
      <c r="C13" s="181"/>
      <c r="D13" s="181"/>
      <c r="E13" s="181"/>
      <c r="F13" s="181"/>
      <c r="G13" s="181"/>
      <c r="H13" s="181"/>
      <c r="I13" s="181"/>
      <c r="J13" s="181"/>
      <c r="U13" s="92">
        <v>10</v>
      </c>
      <c r="V13" t="s">
        <v>101</v>
      </c>
      <c r="W13" t="s">
        <v>838</v>
      </c>
      <c r="X13" t="s">
        <v>567</v>
      </c>
      <c r="Y13" t="str">
        <f>VLOOKUP(X13,Inventry!B11:F215,2,FALSE)</f>
        <v>DC MCB - SCHNEIDER / LK (L&amp;T)
SPD - FINDER</v>
      </c>
      <c r="Z13" s="85" t="str">
        <f>VLOOKUP(X13,Inventry!B11:F215,3,FALSE)</f>
        <v>The DC Distribution Box (DCDB) is designed to protect and control the DC output from solar PV modules. It is equipped with:
DC MCB (Miniature Circuit Breaker) for protection against overcurrent and short circuits
SPD (Surge Protection Device) to protect against voltage surges and lightning-induced spikes
This robust and weatherproof DCDB ensures the safe and reliable operation of the solar power system, enhancing overall system durability.</v>
      </c>
      <c r="AA13" s="92" t="str">
        <f>VLOOKUP(X13,Inventry!B11:F215,4,FALSE)</f>
        <v>wp</v>
      </c>
      <c r="AB13" s="101">
        <f>VLOOKUP(X13,Inventry!B11:F215,5,FALSE)</f>
        <v>0.5</v>
      </c>
      <c r="AC13" s="14">
        <f>AC4</f>
        <v>15120</v>
      </c>
      <c r="AD13">
        <f>Table2[[#This Row],[QTY]]*Table2[[#This Row],[RATE W/O GST]]</f>
        <v>7560</v>
      </c>
      <c r="AE13" s="17">
        <v>0.18</v>
      </c>
      <c r="AF13">
        <f>Table2[[#This Row],[TOTAL]]*Table2[[#This Row],[GST %]]</f>
        <v>1360.8</v>
      </c>
      <c r="AG13" s="14">
        <f>Table2[[#This Row],[TOTAL GST]]+Table2[[#This Row],[TOTAL]]</f>
        <v>8920.7999999999993</v>
      </c>
      <c r="AH13" s="101" t="s">
        <v>101</v>
      </c>
    </row>
    <row r="14" spans="1:34" ht="15" customHeight="1" x14ac:dyDescent="0.25">
      <c r="A14" s="181"/>
      <c r="B14" s="181"/>
      <c r="C14" s="181"/>
      <c r="D14" s="181"/>
      <c r="E14" s="181"/>
      <c r="F14" s="181"/>
      <c r="G14" s="181"/>
      <c r="H14" s="181"/>
      <c r="I14" s="181"/>
      <c r="J14" s="181"/>
      <c r="U14" s="92">
        <v>11</v>
      </c>
      <c r="V14" t="s">
        <v>705</v>
      </c>
      <c r="W14" t="s">
        <v>532</v>
      </c>
      <c r="X14" t="s">
        <v>532</v>
      </c>
      <c r="Y14" t="str">
        <f>VLOOKUP(X14,Inventry!B12:F216,2,FALSE)</f>
        <v>From reputed Manufacturer</v>
      </c>
      <c r="Z14" s="85" t="str">
        <f>VLOOKUP(X14,Inventry!B12:F216,3,FALSE)</f>
        <v>Provides conical protection MOC.
Copper with required Spikes for Building and Chimneys Protection</v>
      </c>
      <c r="AA14" s="92" t="str">
        <f>VLOOKUP(X14,Inventry!B12:F216,4,FALSE)</f>
        <v>NOS</v>
      </c>
      <c r="AB14" s="101">
        <f>VLOOKUP(X14,Inventry!B12:F216,5,FALSE)</f>
        <v>3500</v>
      </c>
      <c r="AC14" s="14">
        <v>1</v>
      </c>
      <c r="AD14">
        <f>Table2[[#This Row],[QTY]]*Table2[[#This Row],[RATE W/O GST]]</f>
        <v>3500</v>
      </c>
      <c r="AE14" s="17">
        <v>0.18</v>
      </c>
      <c r="AF14">
        <f>Table2[[#This Row],[TOTAL]]*Table2[[#This Row],[GST %]]</f>
        <v>630</v>
      </c>
      <c r="AG14" s="14">
        <f>Table2[[#This Row],[TOTAL GST]]+Table2[[#This Row],[TOTAL]]</f>
        <v>4130</v>
      </c>
      <c r="AH14" s="101" t="s">
        <v>705</v>
      </c>
    </row>
    <row r="15" spans="1:34" ht="15" customHeight="1" x14ac:dyDescent="0.25">
      <c r="A15" s="181"/>
      <c r="B15" s="181"/>
      <c r="C15" s="181"/>
      <c r="D15" s="181"/>
      <c r="E15" s="181"/>
      <c r="F15" s="181"/>
      <c r="G15" s="181"/>
      <c r="H15" s="181"/>
      <c r="I15" s="181"/>
      <c r="J15" s="181"/>
      <c r="U15" s="92">
        <v>12</v>
      </c>
      <c r="V15" t="s">
        <v>706</v>
      </c>
      <c r="W15" t="s">
        <v>531</v>
      </c>
      <c r="X15" t="s">
        <v>587</v>
      </c>
      <c r="Y15" t="str">
        <f>VLOOKUP(X15,Inventry!B13:F217,2,FALSE)</f>
        <v>AS PER ISI STANDERD MENUFACTURER</v>
      </c>
      <c r="Z15" s="85" t="str">
        <f>VLOOKUP(X15,Inventry!B13:F217,3,FALSE)</f>
        <v>Copper Bonded Earth rods made from high tensile low carbon steel by molecularly bonding 99.9% pure copper with a minimum coating thickness of 250 micron System is Corrosion resistant &amp; rated for high fault currents
Moisture booster chemical bags provided for low earth resistance
Low maintenance on site</v>
      </c>
      <c r="AA15" s="92" t="str">
        <f>VLOOKUP(X15,Inventry!B13:F217,4,FALSE)</f>
        <v>NOS</v>
      </c>
      <c r="AB15" s="101">
        <f>VLOOKUP(X15,Inventry!B13:F217,5,FALSE)</f>
        <v>500</v>
      </c>
      <c r="AC15" s="14">
        <v>3</v>
      </c>
      <c r="AD15">
        <f>Table2[[#This Row],[QTY]]*Table2[[#This Row],[RATE W/O GST]]</f>
        <v>1500</v>
      </c>
      <c r="AE15" s="17">
        <v>0.18</v>
      </c>
      <c r="AF15">
        <f>Table2[[#This Row],[TOTAL]]*Table2[[#This Row],[GST %]]</f>
        <v>270</v>
      </c>
      <c r="AG15" s="14">
        <f>Table2[[#This Row],[TOTAL GST]]+Table2[[#This Row],[TOTAL]]</f>
        <v>1770</v>
      </c>
      <c r="AH15" s="101" t="s">
        <v>706</v>
      </c>
    </row>
    <row r="16" spans="1:34" ht="15" customHeight="1" x14ac:dyDescent="0.25">
      <c r="A16" s="181"/>
      <c r="B16" s="181"/>
      <c r="C16" s="181"/>
      <c r="D16" s="181"/>
      <c r="E16" s="181"/>
      <c r="F16" s="181"/>
      <c r="G16" s="181"/>
      <c r="H16" s="181"/>
      <c r="I16" s="181"/>
      <c r="J16" s="181"/>
      <c r="U16" s="92">
        <v>13</v>
      </c>
      <c r="V16" t="s">
        <v>218</v>
      </c>
      <c r="W16" t="str">
        <f>Table2[[#This Row],[ITEM HEAD]]</f>
        <v>DC CABLE</v>
      </c>
      <c r="X16" t="s">
        <v>765</v>
      </c>
      <c r="Y16" t="str">
        <f>VLOOKUP(X16,Inventry!B14:F218,2,FALSE)</f>
        <v>APAR / POLYCAB / RR KABEL / HAVELLS</v>
      </c>
      <c r="Z16" s="85" t="str">
        <f>VLOOKUP(X16,Inventry!B14:F218,3,FALSE)</f>
        <v>Supply and laying of DC 1 Core x 6.0 sqmm copper flexible cable (Apar / Polycab / RR Kabel / Havells make), XLPE insulated, UV and weather resistant, suitable for interconnection of solar PV modules and DC circuits. Ensures high conductivity, low voltage drop, and long-term outdoor durability.</v>
      </c>
      <c r="AA16" s="92" t="str">
        <f>VLOOKUP(X16,Inventry!B14:F218,4,FALSE)</f>
        <v>MTR</v>
      </c>
      <c r="AB16" s="101">
        <f>VLOOKUP(X16,Inventry!B14:F218,5,FALSE)</f>
        <v>80</v>
      </c>
      <c r="AC16" s="14">
        <v>150</v>
      </c>
      <c r="AD16">
        <f>Table2[[#This Row],[QTY]]*Table2[[#This Row],[RATE W/O GST]]</f>
        <v>12000</v>
      </c>
      <c r="AE16" s="17">
        <v>0.18</v>
      </c>
      <c r="AF16">
        <f>Table2[[#This Row],[TOTAL]]*Table2[[#This Row],[GST %]]</f>
        <v>2160</v>
      </c>
      <c r="AG16" s="14">
        <f>Table2[[#This Row],[TOTAL GST]]+Table2[[#This Row],[TOTAL]]</f>
        <v>14160</v>
      </c>
      <c r="AH16" s="101" t="s">
        <v>218</v>
      </c>
    </row>
    <row r="17" spans="1:34" ht="15" customHeight="1" x14ac:dyDescent="0.25">
      <c r="A17" s="181"/>
      <c r="B17" s="181"/>
      <c r="C17" s="181"/>
      <c r="D17" s="181"/>
      <c r="E17" s="181"/>
      <c r="F17" s="181"/>
      <c r="G17" s="181"/>
      <c r="H17" s="181"/>
      <c r="I17" s="181"/>
      <c r="J17" s="181"/>
      <c r="U17" s="92">
        <v>14</v>
      </c>
      <c r="V17" t="s">
        <v>217</v>
      </c>
      <c r="W17" t="str">
        <f>Table2[[#This Row],[ITEM HEAD]]</f>
        <v>AC CABLE</v>
      </c>
      <c r="X17" t="s">
        <v>606</v>
      </c>
      <c r="Y17" t="str">
        <f>VLOOKUP(X17,Inventry!B15:F219,2,FALSE)</f>
        <v>APAR / POLYCAB / RR KABEL / HAVELLS</v>
      </c>
      <c r="Z17" s="85" t="str">
        <f>VLOOKUP(X17,Inventry!B15:F219,3,FALSE)</f>
        <v>Supply and laying of AC 4 Core x 16 sqmm Aluminium Armoured Cable (Apar / Polycab / RR Kabel / Havells make), XLPE insulated, PVC sheathed, heavy-duty cable suitable for underground or outdoor AC power transmission in solar power systems. Offers mechanical protection, thermal endurance, and reliable performance under load conditions.</v>
      </c>
      <c r="AA17" s="92" t="str">
        <f>VLOOKUP(X17,Inventry!B15:F219,4,FALSE)</f>
        <v>MTR</v>
      </c>
      <c r="AB17" s="101">
        <f>VLOOKUP(X17,Inventry!B15:F219,5,FALSE)</f>
        <v>126.10000000000002</v>
      </c>
      <c r="AC17" s="14">
        <v>100</v>
      </c>
      <c r="AD17">
        <f>Table2[[#This Row],[QTY]]*Table2[[#This Row],[RATE W/O GST]]</f>
        <v>12610.000000000002</v>
      </c>
      <c r="AE17" s="17">
        <v>0.18</v>
      </c>
      <c r="AF17">
        <f>Table2[[#This Row],[TOTAL]]*Table2[[#This Row],[GST %]]</f>
        <v>2269.8000000000002</v>
      </c>
      <c r="AG17" s="14">
        <f>Table2[[#This Row],[TOTAL GST]]+Table2[[#This Row],[TOTAL]]</f>
        <v>14879.800000000003</v>
      </c>
      <c r="AH17" s="101" t="s">
        <v>217</v>
      </c>
    </row>
    <row r="18" spans="1:34" ht="15" customHeight="1" x14ac:dyDescent="0.25">
      <c r="A18" s="181"/>
      <c r="B18" s="181"/>
      <c r="C18" s="181"/>
      <c r="D18" s="181"/>
      <c r="E18" s="181"/>
      <c r="F18" s="181"/>
      <c r="G18" s="181"/>
      <c r="H18" s="181"/>
      <c r="I18" s="181"/>
      <c r="J18" s="181"/>
      <c r="U18" s="92">
        <v>15</v>
      </c>
      <c r="V18" t="s">
        <v>707</v>
      </c>
      <c r="W18" t="str">
        <f>Table2[[#This Row],[ITEM HEAD]]</f>
        <v>AC CABLE- 2</v>
      </c>
      <c r="X18" t="s">
        <v>603</v>
      </c>
      <c r="Y18" t="str">
        <f>VLOOKUP(X18,Inventry!B16:F220,2,FALSE)</f>
        <v>APAR / POLYCAB / RR KABEL / HAVELLS</v>
      </c>
      <c r="Z18" s="85" t="str">
        <f>VLOOKUP(X18,Inventry!B16:F220,3,FALSE)</f>
        <v>Supply and laying of AC 3.5 Core x 185 sqmm Aluminium Armoured Cable (Apar / Polycab / RR Kabel / Havells make), XLPE insulated, PVC sheathed, heavy-duty cable suitable for LT power distribution in large-scale solar installations. Ensures high current-carrying capacity, robust mechanical protection, and reliable performance in outdoor and underground applications under continuous load.</v>
      </c>
      <c r="AA18" s="92" t="str">
        <f>VLOOKUP(X18,Inventry!B16:F220,4,FALSE)</f>
        <v>MTR</v>
      </c>
      <c r="AB18" s="101">
        <f>VLOOKUP(X18,Inventry!B16:F220,5,FALSE)</f>
        <v>802.88000000000011</v>
      </c>
      <c r="AC18" s="14">
        <v>0</v>
      </c>
      <c r="AD18">
        <f>Table2[[#This Row],[QTY]]*Table2[[#This Row],[RATE W/O GST]]</f>
        <v>0</v>
      </c>
      <c r="AE18" s="17">
        <v>0.18</v>
      </c>
      <c r="AF18">
        <f>Table2[[#This Row],[TOTAL]]*Table2[[#This Row],[GST %]]</f>
        <v>0</v>
      </c>
      <c r="AG18" s="14">
        <f>Table2[[#This Row],[TOTAL GST]]+Table2[[#This Row],[TOTAL]]</f>
        <v>0</v>
      </c>
      <c r="AH18" s="101" t="s">
        <v>707</v>
      </c>
    </row>
    <row r="19" spans="1:34" ht="15" customHeight="1" thickBot="1" x14ac:dyDescent="0.3">
      <c r="A19" s="182"/>
      <c r="B19" s="182"/>
      <c r="C19" s="182"/>
      <c r="D19" s="182"/>
      <c r="E19" s="182"/>
      <c r="F19" s="182"/>
      <c r="G19" s="182"/>
      <c r="H19" s="182"/>
      <c r="I19" s="182"/>
      <c r="J19" s="182"/>
      <c r="U19" s="92">
        <v>16</v>
      </c>
      <c r="V19" t="s">
        <v>372</v>
      </c>
      <c r="W19" t="str">
        <f>Table2[[#This Row],[ITEM HEAD]]</f>
        <v>EARTHING CABLE / STRIP</v>
      </c>
      <c r="X19" t="s">
        <v>609</v>
      </c>
      <c r="Y19" t="str">
        <f>VLOOKUP(X19,Inventry!B17:F221,2,FALSE)</f>
        <v>INDOCAB</v>
      </c>
      <c r="Z19" s="85" t="str">
        <f>VLOOKUP(X19,Inventry!B17:F221,3,FALSE)</f>
        <v>Supply and laying of Earth 1 Core x 4.0 sqmm Copper Cable, PVC insulated, single-core, suitable for effective grounding of solar PV structures and equipment. Provides excellent conductivity, mechanical strength, and reliable fault current dissipation for enhanced system safety.</v>
      </c>
      <c r="AA19" s="92" t="str">
        <f>VLOOKUP(X19,Inventry!B17:F221,4,FALSE)</f>
        <v>MTR</v>
      </c>
      <c r="AB19" s="101">
        <f>VLOOKUP(X19,Inventry!B17:F221,5,FALSE)</f>
        <v>40.341000000000001</v>
      </c>
      <c r="AC19" s="14">
        <v>200</v>
      </c>
      <c r="AD19">
        <f>Table2[[#This Row],[QTY]]*Table2[[#This Row],[RATE W/O GST]]</f>
        <v>8068.2</v>
      </c>
      <c r="AE19" s="17">
        <v>0.18</v>
      </c>
      <c r="AF19">
        <f>Table2[[#This Row],[TOTAL]]*Table2[[#This Row],[GST %]]</f>
        <v>1452.2759999999998</v>
      </c>
      <c r="AG19" s="14">
        <f>Table2[[#This Row],[TOTAL GST]]+Table2[[#This Row],[TOTAL]]</f>
        <v>9520.4759999999987</v>
      </c>
      <c r="AH19" s="101" t="s">
        <v>372</v>
      </c>
    </row>
    <row r="20" spans="1:34" ht="15" customHeight="1" thickTop="1" x14ac:dyDescent="0.25">
      <c r="A20" s="179" t="s">
        <v>499</v>
      </c>
      <c r="B20" s="179"/>
      <c r="C20" s="179"/>
      <c r="D20" s="179"/>
      <c r="E20" s="179"/>
      <c r="F20" s="179"/>
      <c r="G20" s="179"/>
      <c r="H20" s="179"/>
      <c r="I20" s="179"/>
      <c r="J20" s="179"/>
      <c r="U20" s="92">
        <v>17</v>
      </c>
      <c r="V20" t="s">
        <v>708</v>
      </c>
      <c r="W20" t="str">
        <f>Table2[[#This Row],[ITEM HEAD]]</f>
        <v>LA CABLE / STRIP</v>
      </c>
      <c r="X20" t="s">
        <v>612</v>
      </c>
      <c r="Y20" t="str">
        <f>VLOOKUP(X20,Inventry!B18:F222,2,FALSE)</f>
        <v xml:space="preserve">KANBERY / FLEXGUARD / GEONOM </v>
      </c>
      <c r="Z20" s="85" t="str">
        <f>VLOOKUP(X20,Inventry!B18:F222,3,FALSE)</f>
        <v>Supply and laying of Earth 1 Core x 16 sqmm Aluminium Flexible Cable, PVC insulated, suitable for earthing of solar structures and LT panels. Provides cost-effective grounding solution with adequate conductivity and flexibility for reliable fault current dissipation and system safety.</v>
      </c>
      <c r="AA20" s="92" t="str">
        <f>VLOOKUP(X20,Inventry!B18:F222,4,FALSE)</f>
        <v>MTR</v>
      </c>
      <c r="AB20" s="101">
        <f>VLOOKUP(X20,Inventry!B18:F222,5,FALSE)</f>
        <v>20</v>
      </c>
      <c r="AC20" s="14">
        <v>100</v>
      </c>
      <c r="AD20">
        <f>Table2[[#This Row],[QTY]]*Table2[[#This Row],[RATE W/O GST]]</f>
        <v>2000</v>
      </c>
      <c r="AE20" s="17">
        <v>0.18</v>
      </c>
      <c r="AF20">
        <f>Table2[[#This Row],[TOTAL]]*Table2[[#This Row],[GST %]]</f>
        <v>360</v>
      </c>
      <c r="AG20" s="14">
        <f>Table2[[#This Row],[TOTAL GST]]+Table2[[#This Row],[TOTAL]]</f>
        <v>2360</v>
      </c>
      <c r="AH20" s="101" t="s">
        <v>708</v>
      </c>
    </row>
    <row r="21" spans="1:34" ht="15" customHeight="1" x14ac:dyDescent="0.25">
      <c r="A21" s="179"/>
      <c r="B21" s="179"/>
      <c r="C21" s="179"/>
      <c r="D21" s="179"/>
      <c r="E21" s="179"/>
      <c r="F21" s="179"/>
      <c r="G21" s="179"/>
      <c r="H21" s="179"/>
      <c r="I21" s="179"/>
      <c r="J21" s="179"/>
      <c r="U21" s="92">
        <v>18</v>
      </c>
      <c r="V21" t="s">
        <v>255</v>
      </c>
      <c r="W21" t="str">
        <f>Table2[[#This Row],[ITEM HEAD]]</f>
        <v>CABLE TRAY</v>
      </c>
      <c r="X21" t="s">
        <v>727</v>
      </c>
      <c r="Y21" t="str">
        <f>VLOOKUP(X21,Inventry!B19:F223,2,FALSE)</f>
        <v>FRP</v>
      </c>
      <c r="Z21" s="85" t="str">
        <f>VLOOKUP(X21,Inventry!B19:F223,3,FALSE)</f>
        <v>Supply and installation of FRP Cable Tray, size 50mm (W) x 50mm (H) x 3mm (T) – FRP make, corrosion-resistant, UV-stabilized, and lightweight. Suitable for safe and durable routing of DC/AC cables in solar power installations under harsh outdoor conditions.</v>
      </c>
      <c r="AA21" s="92" t="str">
        <f>VLOOKUP(X21,Inventry!B19:F223,4,FALSE)</f>
        <v>MTR</v>
      </c>
      <c r="AB21" s="101">
        <f>VLOOKUP(X21,Inventry!B19:F223,5,FALSE)</f>
        <v>230</v>
      </c>
      <c r="AC21" s="14">
        <v>0</v>
      </c>
      <c r="AD21">
        <f>Table2[[#This Row],[QTY]]*Table2[[#This Row],[RATE W/O GST]]</f>
        <v>0</v>
      </c>
      <c r="AE21" s="17">
        <v>0.18</v>
      </c>
      <c r="AF21">
        <f>Table2[[#This Row],[TOTAL]]*Table2[[#This Row],[GST %]]</f>
        <v>0</v>
      </c>
      <c r="AG21" s="14">
        <f>Table2[[#This Row],[TOTAL GST]]+Table2[[#This Row],[TOTAL]]</f>
        <v>0</v>
      </c>
      <c r="AH21" s="101" t="s">
        <v>255</v>
      </c>
    </row>
    <row r="22" spans="1:34" ht="15" customHeight="1" x14ac:dyDescent="0.25">
      <c r="A22" s="179"/>
      <c r="B22" s="179"/>
      <c r="C22" s="179"/>
      <c r="D22" s="179"/>
      <c r="E22" s="179"/>
      <c r="F22" s="179"/>
      <c r="G22" s="179"/>
      <c r="H22" s="179"/>
      <c r="I22" s="179"/>
      <c r="J22" s="179"/>
      <c r="U22" s="92">
        <v>19</v>
      </c>
      <c r="V22" t="s">
        <v>709</v>
      </c>
      <c r="W22" t="str">
        <f>Table2[[#This Row],[ITEM HEAD]]</f>
        <v>CONDUITE</v>
      </c>
      <c r="X22" t="s">
        <v>702</v>
      </c>
      <c r="Y22" t="str">
        <f>VLOOKUP(X22,Inventry!B20:F224,2,FALSE)</f>
        <v>VARDHMAN</v>
      </c>
      <c r="Z22" s="85" t="str">
        <f>VLOOKUP(X22,Inventry!B20:F224,3,FALSE)</f>
        <v>Supply and laying of 35mm PVC Conduit, ISI-marked, heavy-duty, UV-resistant and weatherproof, suitable for secure routing and protection of multiple AC/DC cables in solar power installations, both rooftop and ground-mounted.</v>
      </c>
      <c r="AA22" s="92" t="str">
        <f>VLOOKUP(X22,Inventry!B20:F224,4,FALSE)</f>
        <v>NOS</v>
      </c>
      <c r="AB22" s="101">
        <f>VLOOKUP(X22,Inventry!B20:F224,5,FALSE)</f>
        <v>110</v>
      </c>
      <c r="AC22" s="14">
        <v>50</v>
      </c>
      <c r="AD22">
        <f>Table2[[#This Row],[QTY]]*Table2[[#This Row],[RATE W/O GST]]</f>
        <v>5500</v>
      </c>
      <c r="AE22" s="17">
        <v>0.18</v>
      </c>
      <c r="AF22">
        <f>Table2[[#This Row],[TOTAL]]*Table2[[#This Row],[GST %]]</f>
        <v>990</v>
      </c>
      <c r="AG22" s="14">
        <f>Table2[[#This Row],[TOTAL GST]]+Table2[[#This Row],[TOTAL]]</f>
        <v>6490</v>
      </c>
      <c r="AH22" s="101" t="s">
        <v>709</v>
      </c>
    </row>
    <row r="23" spans="1:34" ht="15" customHeight="1" x14ac:dyDescent="0.25">
      <c r="A23" s="199">
        <f>Z2</f>
        <v>15.12</v>
      </c>
      <c r="B23" s="199"/>
      <c r="C23" s="199"/>
      <c r="D23" s="198" t="s">
        <v>505</v>
      </c>
      <c r="E23" s="198"/>
      <c r="F23" s="198"/>
      <c r="G23" s="198"/>
      <c r="H23" s="198"/>
      <c r="I23" s="198"/>
      <c r="J23" s="198"/>
      <c r="U23" s="92">
        <v>20</v>
      </c>
      <c r="V23" t="s">
        <v>224</v>
      </c>
      <c r="W23" t="str">
        <f>Table2[[#This Row],[ITEM HEAD]]</f>
        <v>WALK WAY</v>
      </c>
      <c r="X23" t="s">
        <v>769</v>
      </c>
      <c r="Y23" t="str">
        <f>VLOOKUP(X23,Inventry!B21:F225,2,FALSE)</f>
        <v>FRP</v>
      </c>
      <c r="Z23" s="85" t="str">
        <f>VLOOKUP(X23,Inventry!B21:F225,3,FALSE)</f>
        <v>Supply and installation of FRP Solar Walkway, size 272mm (W) x 3660mm (L) x 25mm (H), with mesh size 38mm x 38mm. Made from corrosion-resistant, UV-stabilized fiber-reinforced plastic, suitable for safe and durable access pathways between solar module rows on rooftops or ground-mounted structures.</v>
      </c>
      <c r="AA23" s="92" t="str">
        <f>VLOOKUP(X23,Inventry!B21:F225,4,FALSE)</f>
        <v>MTR</v>
      </c>
      <c r="AB23" s="101">
        <f>VLOOKUP(X23,Inventry!B21:F225,5,FALSE)</f>
        <v>370</v>
      </c>
      <c r="AC23" s="14">
        <f>X2*1.13</f>
        <v>27.119999999999997</v>
      </c>
      <c r="AD23">
        <f>Table2[[#This Row],[QTY]]*Table2[[#This Row],[RATE W/O GST]]</f>
        <v>10034.4</v>
      </c>
      <c r="AE23" s="17">
        <v>0.18</v>
      </c>
      <c r="AF23">
        <f>Table2[[#This Row],[TOTAL]]*Table2[[#This Row],[GST %]]</f>
        <v>1806.1919999999998</v>
      </c>
      <c r="AG23" s="14">
        <f>Table2[[#This Row],[TOTAL GST]]+Table2[[#This Row],[TOTAL]]</f>
        <v>11840.591999999999</v>
      </c>
      <c r="AH23" s="101" t="s">
        <v>224</v>
      </c>
    </row>
    <row r="24" spans="1:34" ht="15" customHeight="1" x14ac:dyDescent="0.25">
      <c r="A24" s="199"/>
      <c r="B24" s="199"/>
      <c r="C24" s="199"/>
      <c r="D24" s="198"/>
      <c r="E24" s="198"/>
      <c r="F24" s="198"/>
      <c r="G24" s="198"/>
      <c r="H24" s="198"/>
      <c r="I24" s="198"/>
      <c r="J24" s="198"/>
      <c r="U24" s="92">
        <v>21</v>
      </c>
      <c r="V24" t="s">
        <v>221</v>
      </c>
      <c r="W24" t="str">
        <f>Table2[[#This Row],[ITEM HEAD]]</f>
        <v>MC4 CONNECTOR</v>
      </c>
      <c r="X24" t="s">
        <v>704</v>
      </c>
      <c r="Y24" t="str">
        <f>VLOOKUP(X24,Inventry!B22:F226,2,FALSE)</f>
        <v>NIGBO</v>
      </c>
      <c r="Z24" s="85" t="str">
        <f>VLOOKUP(X24,Inventry!B22:F226,3,FALSE)</f>
        <v>Supply and installation of MC4 connectors, UV-resistant and IP67-rated, suitable for secure and weatherproof DC cable connections in solar PV systems. Ensures reliable plug-and-play connectivity between solar modules and string cables with minimal power loss.</v>
      </c>
      <c r="AA24" s="92" t="str">
        <f>VLOOKUP(X24,Inventry!B22:F226,4,FALSE)</f>
        <v>NOS</v>
      </c>
      <c r="AB24" s="101">
        <f>VLOOKUP(X24,Inventry!B22:F226,5,FALSE)</f>
        <v>32</v>
      </c>
      <c r="AC24" s="14">
        <v>10</v>
      </c>
      <c r="AD24">
        <f>Table2[[#This Row],[QTY]]*Table2[[#This Row],[RATE W/O GST]]</f>
        <v>320</v>
      </c>
      <c r="AE24" s="17">
        <v>0.18</v>
      </c>
      <c r="AF24">
        <f>Table2[[#This Row],[TOTAL]]*Table2[[#This Row],[GST %]]</f>
        <v>57.599999999999994</v>
      </c>
      <c r="AG24" s="14">
        <f>Table2[[#This Row],[TOTAL GST]]+Table2[[#This Row],[TOTAL]]</f>
        <v>377.6</v>
      </c>
      <c r="AH24" s="101" t="s">
        <v>221</v>
      </c>
    </row>
    <row r="25" spans="1:34" ht="15" customHeight="1" x14ac:dyDescent="0.25">
      <c r="A25" s="83"/>
      <c r="B25" s="83"/>
      <c r="C25" s="83"/>
      <c r="D25" s="82"/>
      <c r="E25" s="82"/>
      <c r="F25" s="82"/>
      <c r="G25" s="82"/>
      <c r="H25" s="82"/>
      <c r="I25" s="82"/>
      <c r="J25" s="82"/>
      <c r="U25" s="92">
        <v>22</v>
      </c>
      <c r="V25" t="s">
        <v>710</v>
      </c>
      <c r="W25" t="str">
        <f>Table2[[#This Row],[ITEM HEAD]]</f>
        <v>ISOLATION</v>
      </c>
      <c r="X25" t="s">
        <v>721</v>
      </c>
      <c r="AA25" s="92" t="s">
        <v>129</v>
      </c>
      <c r="AB25" s="104">
        <v>0.1</v>
      </c>
      <c r="AC25" s="14">
        <f>AC4</f>
        <v>15120</v>
      </c>
      <c r="AD25">
        <f>Table2[[#This Row],[QTY]]*Table2[[#This Row],[RATE W/O GST]]</f>
        <v>1512</v>
      </c>
      <c r="AE25" s="17">
        <v>0.18</v>
      </c>
      <c r="AF25">
        <f>Table2[[#This Row],[TOTAL]]*Table2[[#This Row],[GST %]]</f>
        <v>272.15999999999997</v>
      </c>
      <c r="AG25" s="14">
        <f>Table2[[#This Row],[TOTAL GST]]+Table2[[#This Row],[TOTAL]]</f>
        <v>1784.1599999999999</v>
      </c>
      <c r="AH25" s="101" t="s">
        <v>710</v>
      </c>
    </row>
    <row r="26" spans="1:34" ht="15" customHeight="1" x14ac:dyDescent="0.25">
      <c r="B26" s="200" t="s">
        <v>498</v>
      </c>
      <c r="C26" s="200"/>
      <c r="D26" s="200"/>
      <c r="E26" s="178" t="s">
        <v>919</v>
      </c>
      <c r="F26" s="178"/>
      <c r="G26" s="178"/>
      <c r="H26" s="178"/>
      <c r="I26" s="178"/>
      <c r="U26" s="92">
        <v>23</v>
      </c>
      <c r="V26" t="s">
        <v>711</v>
      </c>
      <c r="Y26" t="s">
        <v>843</v>
      </c>
      <c r="Z26" s="85" t="s">
        <v>842</v>
      </c>
      <c r="AA26" s="92" t="s">
        <v>596</v>
      </c>
      <c r="AB26" s="104">
        <v>300</v>
      </c>
      <c r="AC26" s="14">
        <v>8</v>
      </c>
      <c r="AD26">
        <f>Table2[[#This Row],[QTY]]*Table2[[#This Row],[RATE W/O GST]]</f>
        <v>2400</v>
      </c>
      <c r="AE26" s="17">
        <v>0.18</v>
      </c>
      <c r="AF26">
        <f>Table2[[#This Row],[TOTAL]]*Table2[[#This Row],[GST %]]</f>
        <v>432</v>
      </c>
      <c r="AG26" s="14">
        <f>Table2[[#This Row],[TOTAL GST]]+Table2[[#This Row],[TOTAL]]</f>
        <v>2832</v>
      </c>
      <c r="AH26" s="101" t="s">
        <v>711</v>
      </c>
    </row>
    <row r="27" spans="1:34" ht="15" customHeight="1" x14ac:dyDescent="0.25">
      <c r="B27" s="200"/>
      <c r="C27" s="200"/>
      <c r="D27" s="200"/>
      <c r="E27" s="178"/>
      <c r="F27" s="178"/>
      <c r="G27" s="178"/>
      <c r="H27" s="178"/>
      <c r="I27" s="178"/>
      <c r="U27" s="92">
        <v>24</v>
      </c>
      <c r="V27" t="s">
        <v>712</v>
      </c>
      <c r="AA27" s="92" t="s">
        <v>129</v>
      </c>
      <c r="AB27" s="104">
        <v>0.2</v>
      </c>
      <c r="AC27" s="14">
        <f>AC4</f>
        <v>15120</v>
      </c>
      <c r="AD27">
        <f>Table2[[#This Row],[QTY]]*Table2[[#This Row],[RATE W/O GST]]</f>
        <v>3024</v>
      </c>
      <c r="AE27" s="17">
        <v>0.18</v>
      </c>
      <c r="AF27">
        <f>Table2[[#This Row],[TOTAL]]*Table2[[#This Row],[GST %]]</f>
        <v>544.31999999999994</v>
      </c>
      <c r="AG27" s="14">
        <f>Table2[[#This Row],[TOTAL GST]]+Table2[[#This Row],[TOTAL]]</f>
        <v>3568.3199999999997</v>
      </c>
      <c r="AH27" s="101" t="s">
        <v>712</v>
      </c>
    </row>
    <row r="28" spans="1:34" ht="15" customHeight="1" x14ac:dyDescent="0.25">
      <c r="B28" s="178" t="s">
        <v>496</v>
      </c>
      <c r="C28" s="178"/>
      <c r="D28" s="178"/>
      <c r="E28" s="178" t="str">
        <f>E26</f>
        <v>LAND MARK</v>
      </c>
      <c r="F28" s="178"/>
      <c r="G28" s="178"/>
      <c r="H28" s="178"/>
      <c r="I28" s="178"/>
      <c r="U28" s="92">
        <v>25</v>
      </c>
      <c r="V28" t="s">
        <v>122</v>
      </c>
      <c r="AA28" s="92" t="s">
        <v>723</v>
      </c>
      <c r="AB28" s="104">
        <v>0.3</v>
      </c>
      <c r="AC28" s="14">
        <f>AC4</f>
        <v>15120</v>
      </c>
      <c r="AD28">
        <f>Table2[[#This Row],[QTY]]*Table2[[#This Row],[RATE W/O GST]]</f>
        <v>4536</v>
      </c>
      <c r="AE28" s="17">
        <v>0.18</v>
      </c>
      <c r="AF28">
        <f>Table2[[#This Row],[TOTAL]]*Table2[[#This Row],[GST %]]</f>
        <v>816.48</v>
      </c>
      <c r="AG28" s="14">
        <f>Table2[[#This Row],[TOTAL GST]]+Table2[[#This Row],[TOTAL]]</f>
        <v>5352.48</v>
      </c>
      <c r="AH28" s="101" t="s">
        <v>122</v>
      </c>
    </row>
    <row r="29" spans="1:34" ht="15" customHeight="1" x14ac:dyDescent="0.25">
      <c r="B29" s="178"/>
      <c r="C29" s="178"/>
      <c r="D29" s="178"/>
      <c r="E29" s="178"/>
      <c r="F29" s="178"/>
      <c r="G29" s="178"/>
      <c r="H29" s="178"/>
      <c r="I29" s="178"/>
      <c r="U29" s="92">
        <v>26</v>
      </c>
      <c r="V29" t="s">
        <v>123</v>
      </c>
      <c r="AA29" s="92" t="s">
        <v>17</v>
      </c>
      <c r="AB29" s="104">
        <v>1700</v>
      </c>
      <c r="AC29" s="14">
        <f>AC4/1000</f>
        <v>15.12</v>
      </c>
      <c r="AD29">
        <f>Table2[[#This Row],[QTY]]*Table2[[#This Row],[RATE W/O GST]]</f>
        <v>25704</v>
      </c>
      <c r="AE29" s="17">
        <v>0.18</v>
      </c>
      <c r="AF29">
        <f>Table2[[#This Row],[TOTAL]]*Table2[[#This Row],[GST %]]</f>
        <v>4626.72</v>
      </c>
      <c r="AG29" s="14">
        <f>Table2[[#This Row],[TOTAL GST]]+Table2[[#This Row],[TOTAL]]</f>
        <v>30330.720000000001</v>
      </c>
      <c r="AH29" s="101" t="s">
        <v>123</v>
      </c>
    </row>
    <row r="30" spans="1:34" ht="15" customHeight="1" x14ac:dyDescent="0.25">
      <c r="B30" s="178" t="s">
        <v>504</v>
      </c>
      <c r="C30" s="178"/>
      <c r="D30" s="178"/>
      <c r="E30" s="178"/>
      <c r="F30" s="178"/>
      <c r="G30" s="178"/>
      <c r="H30" s="178"/>
      <c r="I30" s="178"/>
      <c r="U30" s="92">
        <v>27</v>
      </c>
      <c r="V30" t="s">
        <v>226</v>
      </c>
      <c r="AA30" s="92" t="s">
        <v>148</v>
      </c>
      <c r="AB30" s="104">
        <v>350</v>
      </c>
      <c r="AC30" s="14">
        <f>AC29</f>
        <v>15.12</v>
      </c>
      <c r="AD30">
        <f>Table2[[#This Row],[QTY]]*Table2[[#This Row],[RATE W/O GST]]</f>
        <v>5292</v>
      </c>
      <c r="AE30" s="17">
        <v>0.18</v>
      </c>
      <c r="AF30">
        <f>Table2[[#This Row],[TOTAL]]*Table2[[#This Row],[GST %]]</f>
        <v>952.56</v>
      </c>
      <c r="AG30" s="14">
        <f>Table2[[#This Row],[TOTAL GST]]+Table2[[#This Row],[TOTAL]]</f>
        <v>6244.5599999999995</v>
      </c>
      <c r="AH30" s="101" t="s">
        <v>226</v>
      </c>
    </row>
    <row r="31" spans="1:34" ht="15" customHeight="1" x14ac:dyDescent="0.25">
      <c r="B31" s="178"/>
      <c r="C31" s="178"/>
      <c r="D31" s="178"/>
      <c r="E31" s="178"/>
      <c r="F31" s="178"/>
      <c r="G31" s="178"/>
      <c r="H31" s="178"/>
      <c r="I31" s="178"/>
      <c r="U31" s="92">
        <v>28</v>
      </c>
      <c r="V31" t="s">
        <v>373</v>
      </c>
      <c r="AA31" s="92" t="s">
        <v>596</v>
      </c>
      <c r="AB31" s="104">
        <v>0</v>
      </c>
      <c r="AC31" s="14">
        <v>6</v>
      </c>
      <c r="AD31">
        <f>Table2[[#This Row],[QTY]]*Table2[[#This Row],[RATE W/O GST]]</f>
        <v>0</v>
      </c>
      <c r="AE31" s="17">
        <v>0.18</v>
      </c>
      <c r="AF31">
        <f>Table2[[#This Row],[TOTAL]]*Table2[[#This Row],[GST %]]</f>
        <v>0</v>
      </c>
      <c r="AG31" s="14">
        <f>Table2[[#This Row],[TOTAL GST]]+Table2[[#This Row],[TOTAL]]</f>
        <v>0</v>
      </c>
      <c r="AH31" s="101" t="s">
        <v>373</v>
      </c>
    </row>
    <row r="32" spans="1:34" ht="15" customHeight="1" x14ac:dyDescent="0.25">
      <c r="B32" s="178" t="s">
        <v>507</v>
      </c>
      <c r="C32" s="178"/>
      <c r="D32" s="178"/>
      <c r="E32" s="178" t="s">
        <v>379</v>
      </c>
      <c r="F32" s="178"/>
      <c r="G32" s="84"/>
      <c r="H32" s="84"/>
      <c r="I32" s="84"/>
      <c r="U32" s="92">
        <v>29</v>
      </c>
      <c r="V32" t="s">
        <v>724</v>
      </c>
      <c r="AB32" s="104">
        <f>SUBTOTAL(109,AB4:AB31)</f>
        <v>70271.921000000017</v>
      </c>
      <c r="AC32" s="14"/>
      <c r="AD32">
        <f>SUBTOTAL(109,AD4:AD31)</f>
        <v>538935.60000000009</v>
      </c>
      <c r="AE32" s="17">
        <v>0.18</v>
      </c>
      <c r="AF32">
        <f>SUBTOTAL(109,AF4:AF31)</f>
        <v>53697.608000000007</v>
      </c>
      <c r="AG32" s="14">
        <f>SUBTOTAL(109,AG4:AG31)</f>
        <v>592633.20799999998</v>
      </c>
      <c r="AH32" s="101" t="s">
        <v>724</v>
      </c>
    </row>
    <row r="33" spans="2:34" ht="15" customHeight="1" x14ac:dyDescent="0.25">
      <c r="B33" s="178"/>
      <c r="C33" s="178"/>
      <c r="D33" s="178"/>
      <c r="E33" s="178"/>
      <c r="F33" s="178"/>
      <c r="G33" s="84"/>
      <c r="H33" s="84"/>
      <c r="I33" s="84"/>
      <c r="U33" s="92">
        <v>30</v>
      </c>
      <c r="V33" t="s">
        <v>714</v>
      </c>
      <c r="AB33" s="104"/>
      <c r="AG33" s="17">
        <v>0.15</v>
      </c>
      <c r="AH33" s="107" t="s">
        <v>714</v>
      </c>
    </row>
    <row r="34" spans="2:34" ht="15" customHeight="1" x14ac:dyDescent="0.25">
      <c r="B34" s="178" t="s">
        <v>508</v>
      </c>
      <c r="C34" s="178"/>
      <c r="D34" s="178"/>
      <c r="E34" s="183"/>
      <c r="F34" s="183"/>
      <c r="G34" s="183"/>
      <c r="H34" s="183"/>
      <c r="I34" s="183"/>
      <c r="U34" s="92" t="s">
        <v>726</v>
      </c>
      <c r="AB34" s="104"/>
      <c r="AG34" s="14">
        <f>AG32*AG33</f>
        <v>88894.981199999995</v>
      </c>
      <c r="AH34" s="101"/>
    </row>
    <row r="35" spans="2:34" ht="15" customHeight="1" x14ac:dyDescent="0.25">
      <c r="B35" s="178"/>
      <c r="C35" s="178"/>
      <c r="D35" s="178"/>
      <c r="E35" s="183"/>
      <c r="F35" s="183"/>
      <c r="G35" s="183"/>
      <c r="H35" s="183"/>
      <c r="I35" s="183"/>
      <c r="U35" s="92">
        <v>32</v>
      </c>
      <c r="V35" t="s">
        <v>725</v>
      </c>
      <c r="AG35" s="105">
        <f>AG32+Table2[[#Totals],[RATE WITH GST]]</f>
        <v>681528.18920000002</v>
      </c>
      <c r="AH35" s="108" t="s">
        <v>725</v>
      </c>
    </row>
    <row r="36" spans="2:34" ht="15" customHeight="1" x14ac:dyDescent="0.25">
      <c r="B36" s="178" t="s">
        <v>495</v>
      </c>
      <c r="C36" s="178"/>
      <c r="D36" s="178"/>
      <c r="E36" s="178" t="s">
        <v>506</v>
      </c>
      <c r="F36" s="178"/>
      <c r="G36" s="178"/>
      <c r="H36" s="178"/>
      <c r="I36" s="178"/>
    </row>
    <row r="37" spans="2:34" ht="15" customHeight="1" x14ac:dyDescent="0.25">
      <c r="B37" s="178"/>
      <c r="C37" s="178"/>
      <c r="D37" s="178"/>
      <c r="E37" s="178"/>
      <c r="F37" s="178"/>
      <c r="G37" s="178"/>
      <c r="H37" s="178"/>
      <c r="I37" s="178"/>
    </row>
    <row r="38" spans="2:34" ht="15" customHeight="1" x14ac:dyDescent="0.25">
      <c r="B38" s="201" t="s">
        <v>502</v>
      </c>
      <c r="C38" s="201"/>
      <c r="D38" s="201"/>
      <c r="E38" s="178" t="s">
        <v>500</v>
      </c>
      <c r="F38" s="178"/>
      <c r="G38" s="178"/>
      <c r="H38" s="178">
        <v>8140535380</v>
      </c>
      <c r="I38" s="178">
        <v>8140535380</v>
      </c>
    </row>
    <row r="39" spans="2:34" ht="15" customHeight="1" x14ac:dyDescent="0.25">
      <c r="B39" s="201"/>
      <c r="C39" s="201"/>
      <c r="D39" s="201"/>
      <c r="E39" s="178" t="s">
        <v>501</v>
      </c>
      <c r="F39" s="178"/>
      <c r="G39" s="178"/>
      <c r="H39" s="178">
        <v>8128491230</v>
      </c>
      <c r="I39" s="178">
        <v>8128491230</v>
      </c>
    </row>
    <row r="40" spans="2:34" ht="15" customHeight="1" x14ac:dyDescent="0.25">
      <c r="B40" s="201"/>
      <c r="C40" s="201"/>
      <c r="D40" s="201"/>
      <c r="E40" s="178" t="s">
        <v>890</v>
      </c>
      <c r="F40" s="178"/>
      <c r="G40" s="178"/>
      <c r="H40" s="178">
        <v>7069822153</v>
      </c>
      <c r="I40" s="178">
        <v>7069822153</v>
      </c>
    </row>
    <row r="41" spans="2:34" ht="15" customHeight="1" x14ac:dyDescent="0.25">
      <c r="B41" s="201"/>
      <c r="C41" s="201"/>
      <c r="D41" s="201"/>
      <c r="E41" s="84" t="s">
        <v>503</v>
      </c>
      <c r="F41" s="84"/>
      <c r="G41" s="84"/>
      <c r="H41" s="84"/>
      <c r="I41" s="84"/>
    </row>
    <row r="42" spans="2:34" ht="15" customHeight="1" x14ac:dyDescent="0.25">
      <c r="B42" s="178" t="s">
        <v>494</v>
      </c>
      <c r="C42" s="178"/>
      <c r="D42" s="178"/>
      <c r="E42" s="202">
        <f ca="1">TODAY()</f>
        <v>46043</v>
      </c>
      <c r="F42" s="178"/>
      <c r="G42" s="178"/>
      <c r="H42" s="178"/>
      <c r="I42" s="178"/>
    </row>
    <row r="43" spans="2:34" ht="15" customHeight="1" x14ac:dyDescent="0.25">
      <c r="B43" s="178"/>
      <c r="C43" s="178"/>
      <c r="D43" s="178"/>
      <c r="E43" s="178"/>
      <c r="F43" s="178"/>
      <c r="G43" s="178"/>
      <c r="H43" s="178"/>
      <c r="I43" s="178"/>
    </row>
    <row r="44" spans="2:34" ht="15" customHeight="1" x14ac:dyDescent="0.25">
      <c r="B44" s="178" t="s">
        <v>497</v>
      </c>
      <c r="C44" s="178"/>
      <c r="D44" s="178"/>
      <c r="E44" s="178" t="s">
        <v>903</v>
      </c>
      <c r="F44" s="178"/>
      <c r="G44" s="178"/>
      <c r="H44" s="178"/>
      <c r="I44" s="178"/>
    </row>
    <row r="45" spans="2:34" ht="15" customHeight="1" x14ac:dyDescent="0.25">
      <c r="B45" s="178"/>
      <c r="C45" s="178"/>
      <c r="D45" s="178"/>
      <c r="E45" s="178"/>
      <c r="F45" s="178"/>
      <c r="G45" s="178"/>
      <c r="H45" s="178"/>
      <c r="I45" s="178"/>
    </row>
    <row r="46" spans="2:34" ht="15" customHeight="1" x14ac:dyDescent="0.25">
      <c r="B46" s="86"/>
      <c r="C46" s="86"/>
      <c r="D46" s="86"/>
      <c r="E46" s="86"/>
      <c r="F46" s="86"/>
      <c r="G46" s="86"/>
      <c r="H46" s="86"/>
      <c r="I46" s="86"/>
    </row>
    <row r="47" spans="2:34" ht="15" customHeight="1" x14ac:dyDescent="0.25">
      <c r="B47" s="86"/>
      <c r="C47" s="86"/>
      <c r="D47" s="86"/>
      <c r="E47" s="86"/>
      <c r="F47" s="86"/>
      <c r="G47" s="86"/>
      <c r="H47" s="86"/>
      <c r="I47" s="86"/>
    </row>
    <row r="48" spans="2:34" ht="15" customHeight="1" x14ac:dyDescent="0.25">
      <c r="B48" s="86"/>
      <c r="C48" s="86"/>
      <c r="D48" s="86"/>
      <c r="E48" s="86"/>
      <c r="F48" s="86"/>
      <c r="G48" s="86"/>
      <c r="H48" s="86"/>
      <c r="I48" s="86"/>
    </row>
    <row r="49" spans="1:10" ht="19.5" customHeight="1" thickBot="1" x14ac:dyDescent="0.35">
      <c r="A49" s="142" t="s">
        <v>509</v>
      </c>
      <c r="B49" s="142"/>
      <c r="C49" s="142"/>
      <c r="D49" s="142"/>
      <c r="E49" s="142"/>
      <c r="F49" s="142"/>
      <c r="G49" s="142"/>
      <c r="H49" s="142"/>
      <c r="I49" s="142"/>
      <c r="J49" s="142"/>
    </row>
    <row r="50" spans="1:10" ht="15.75" thickTop="1" x14ac:dyDescent="0.25">
      <c r="A50" s="167" t="s">
        <v>510</v>
      </c>
      <c r="B50" s="167"/>
      <c r="C50" s="167"/>
      <c r="D50" s="167"/>
      <c r="E50" s="167"/>
      <c r="F50" s="167"/>
      <c r="G50" s="167"/>
      <c r="H50" s="167"/>
      <c r="I50" s="167"/>
      <c r="J50" s="167"/>
    </row>
    <row r="51" spans="1:10" x14ac:dyDescent="0.25">
      <c r="A51" s="147"/>
      <c r="B51" s="147"/>
      <c r="C51" s="147"/>
      <c r="D51" s="147"/>
      <c r="E51" s="147"/>
      <c r="F51" s="147"/>
      <c r="G51" s="147"/>
      <c r="H51" s="147"/>
      <c r="I51" s="147"/>
      <c r="J51" s="147"/>
    </row>
    <row r="52" spans="1:10" x14ac:dyDescent="0.25">
      <c r="A52" s="147"/>
      <c r="B52" s="147"/>
      <c r="C52" s="147"/>
      <c r="D52" s="147"/>
      <c r="E52" s="147"/>
      <c r="F52" s="147"/>
      <c r="G52" s="147"/>
      <c r="H52" s="147"/>
      <c r="I52" s="147"/>
      <c r="J52" s="147"/>
    </row>
    <row r="53" spans="1:10" x14ac:dyDescent="0.25">
      <c r="A53" s="147"/>
      <c r="B53" s="147"/>
      <c r="C53" s="147"/>
      <c r="D53" s="147"/>
      <c r="E53" s="147"/>
      <c r="F53" s="147"/>
      <c r="G53" s="147"/>
      <c r="H53" s="147"/>
      <c r="I53" s="147"/>
      <c r="J53" s="147"/>
    </row>
    <row r="54" spans="1:10" x14ac:dyDescent="0.25">
      <c r="A54" s="147"/>
      <c r="B54" s="147"/>
      <c r="C54" s="147"/>
      <c r="D54" s="147"/>
      <c r="E54" s="147"/>
      <c r="F54" s="147"/>
      <c r="G54" s="147"/>
      <c r="H54" s="147"/>
      <c r="I54" s="147"/>
      <c r="J54" s="147"/>
    </row>
    <row r="55" spans="1:10" x14ac:dyDescent="0.25">
      <c r="A55" s="147"/>
      <c r="B55" s="147"/>
      <c r="C55" s="147"/>
      <c r="D55" s="147"/>
      <c r="E55" s="147"/>
      <c r="F55" s="147"/>
      <c r="G55" s="147"/>
      <c r="H55" s="147"/>
      <c r="I55" s="147"/>
      <c r="J55" s="147"/>
    </row>
    <row r="56" spans="1:10" x14ac:dyDescent="0.25">
      <c r="A56" s="147"/>
      <c r="B56" s="147"/>
      <c r="C56" s="147"/>
      <c r="D56" s="147"/>
      <c r="E56" s="147"/>
      <c r="F56" s="147"/>
      <c r="G56" s="147"/>
      <c r="H56" s="147"/>
      <c r="I56" s="147"/>
      <c r="J56" s="147"/>
    </row>
    <row r="57" spans="1:10" x14ac:dyDescent="0.25">
      <c r="A57" s="147"/>
      <c r="B57" s="147"/>
      <c r="C57" s="147"/>
      <c r="D57" s="147"/>
      <c r="E57" s="147"/>
      <c r="F57" s="147"/>
      <c r="G57" s="147"/>
      <c r="H57" s="147"/>
      <c r="I57" s="147"/>
      <c r="J57" s="147"/>
    </row>
    <row r="58" spans="1:10" x14ac:dyDescent="0.25">
      <c r="A58" s="147"/>
      <c r="B58" s="147"/>
      <c r="C58" s="147"/>
      <c r="D58" s="147"/>
      <c r="E58" s="147"/>
      <c r="F58" s="147"/>
      <c r="G58" s="147"/>
      <c r="H58" s="147"/>
      <c r="I58" s="147"/>
      <c r="J58" s="147"/>
    </row>
    <row r="59" spans="1:10" x14ac:dyDescent="0.25">
      <c r="A59" s="147"/>
      <c r="B59" s="147"/>
      <c r="C59" s="147"/>
      <c r="D59" s="147"/>
      <c r="E59" s="147"/>
      <c r="F59" s="147"/>
      <c r="G59" s="147"/>
      <c r="H59" s="147"/>
      <c r="I59" s="147"/>
      <c r="J59" s="147"/>
    </row>
    <row r="60" spans="1:10" x14ac:dyDescent="0.25">
      <c r="A60" s="147"/>
      <c r="B60" s="147"/>
      <c r="C60" s="147"/>
      <c r="D60" s="147"/>
      <c r="E60" s="147"/>
      <c r="F60" s="147"/>
      <c r="G60" s="147"/>
      <c r="H60" s="147"/>
      <c r="I60" s="147"/>
      <c r="J60" s="147"/>
    </row>
    <row r="61" spans="1:10" x14ac:dyDescent="0.25">
      <c r="A61" s="147"/>
      <c r="B61" s="147"/>
      <c r="C61" s="147"/>
      <c r="D61" s="147"/>
      <c r="E61" s="147"/>
      <c r="F61" s="147"/>
      <c r="G61" s="147"/>
      <c r="H61" s="147"/>
      <c r="I61" s="147"/>
      <c r="J61" s="147"/>
    </row>
    <row r="62" spans="1:10" x14ac:dyDescent="0.25">
      <c r="A62" s="147"/>
      <c r="B62" s="147"/>
      <c r="C62" s="147"/>
      <c r="D62" s="147"/>
      <c r="E62" s="147"/>
      <c r="F62" s="147"/>
      <c r="G62" s="147"/>
      <c r="H62" s="147"/>
      <c r="I62" s="147"/>
      <c r="J62" s="147"/>
    </row>
    <row r="63" spans="1:10" x14ac:dyDescent="0.25">
      <c r="A63" s="147"/>
      <c r="B63" s="147"/>
      <c r="C63" s="147"/>
      <c r="D63" s="147"/>
      <c r="E63" s="147"/>
      <c r="F63" s="147"/>
      <c r="G63" s="147"/>
      <c r="H63" s="147"/>
      <c r="I63" s="147"/>
      <c r="J63" s="147"/>
    </row>
    <row r="64" spans="1:10" x14ac:dyDescent="0.25">
      <c r="A64" s="147"/>
      <c r="B64" s="147"/>
      <c r="C64" s="147"/>
      <c r="D64" s="147"/>
      <c r="E64" s="147"/>
      <c r="F64" s="147"/>
      <c r="G64" s="147"/>
      <c r="H64" s="147"/>
      <c r="I64" s="147"/>
      <c r="J64" s="147"/>
    </row>
    <row r="65" spans="1:10" x14ac:dyDescent="0.25">
      <c r="A65" s="147"/>
      <c r="B65" s="147"/>
      <c r="C65" s="147"/>
      <c r="D65" s="147"/>
      <c r="E65" s="147"/>
      <c r="F65" s="147"/>
      <c r="G65" s="147"/>
      <c r="H65" s="147"/>
      <c r="I65" s="147"/>
      <c r="J65" s="147"/>
    </row>
    <row r="66" spans="1:10" x14ac:dyDescent="0.25">
      <c r="A66" s="147"/>
      <c r="B66" s="147"/>
      <c r="C66" s="147"/>
      <c r="D66" s="147"/>
      <c r="E66" s="147"/>
      <c r="F66" s="147"/>
      <c r="G66" s="147"/>
      <c r="H66" s="147"/>
      <c r="I66" s="147"/>
      <c r="J66" s="147"/>
    </row>
    <row r="67" spans="1:10" ht="19.5" customHeight="1" thickBot="1" x14ac:dyDescent="0.35">
      <c r="A67" s="142" t="s">
        <v>0</v>
      </c>
      <c r="B67" s="142"/>
      <c r="C67" s="142"/>
      <c r="D67" s="142"/>
      <c r="E67" s="142"/>
      <c r="F67" s="142"/>
      <c r="G67" s="142"/>
      <c r="H67" s="142"/>
      <c r="I67" s="142"/>
      <c r="J67" s="142"/>
    </row>
    <row r="68" spans="1:10" ht="15" customHeight="1" thickTop="1" x14ac:dyDescent="0.25">
      <c r="A68" s="300" t="s">
        <v>1</v>
      </c>
      <c r="B68" s="300"/>
      <c r="C68" s="300"/>
      <c r="D68" s="300"/>
      <c r="E68" s="300"/>
      <c r="F68" s="300"/>
      <c r="G68" s="300"/>
      <c r="H68" s="300"/>
      <c r="I68" s="300"/>
      <c r="J68" s="300"/>
    </row>
    <row r="69" spans="1:10" ht="15" customHeight="1" x14ac:dyDescent="0.25">
      <c r="A69" s="170" t="s">
        <v>634</v>
      </c>
      <c r="B69" s="170"/>
      <c r="C69" s="170"/>
      <c r="D69" s="170"/>
      <c r="E69" s="170"/>
      <c r="F69" s="170"/>
      <c r="G69" s="170"/>
      <c r="H69" s="170"/>
      <c r="I69" s="170"/>
      <c r="J69" s="170"/>
    </row>
    <row r="70" spans="1:10" ht="15" customHeight="1" x14ac:dyDescent="0.25">
      <c r="A70" s="170"/>
      <c r="B70" s="170"/>
      <c r="C70" s="170"/>
      <c r="D70" s="170"/>
      <c r="E70" s="170"/>
      <c r="F70" s="170"/>
      <c r="G70" s="170"/>
      <c r="H70" s="170"/>
      <c r="I70" s="170"/>
      <c r="J70" s="170"/>
    </row>
    <row r="71" spans="1:10" ht="15" customHeight="1" x14ac:dyDescent="0.25">
      <c r="A71" s="170"/>
      <c r="B71" s="170"/>
      <c r="C71" s="170"/>
      <c r="D71" s="170"/>
      <c r="E71" s="170"/>
      <c r="F71" s="170"/>
      <c r="G71" s="170"/>
      <c r="H71" s="170"/>
      <c r="I71" s="170"/>
      <c r="J71" s="170"/>
    </row>
    <row r="72" spans="1:10" ht="15" customHeight="1" x14ac:dyDescent="0.25">
      <c r="A72" s="170"/>
      <c r="B72" s="170"/>
      <c r="C72" s="170"/>
      <c r="D72" s="170"/>
      <c r="E72" s="170"/>
      <c r="F72" s="170"/>
      <c r="G72" s="170"/>
      <c r="H72" s="170"/>
      <c r="I72" s="170"/>
      <c r="J72" s="170"/>
    </row>
    <row r="73" spans="1:10" ht="15" customHeight="1" x14ac:dyDescent="0.25">
      <c r="A73" s="170"/>
      <c r="B73" s="170"/>
      <c r="C73" s="170"/>
      <c r="D73" s="170"/>
      <c r="E73" s="170"/>
      <c r="F73" s="170"/>
      <c r="G73" s="170"/>
      <c r="H73" s="170"/>
      <c r="I73" s="170"/>
      <c r="J73" s="170"/>
    </row>
    <row r="74" spans="1:10" ht="15" customHeight="1" x14ac:dyDescent="0.25">
      <c r="A74" s="170"/>
      <c r="B74" s="170"/>
      <c r="C74" s="170"/>
      <c r="D74" s="170"/>
      <c r="E74" s="170"/>
      <c r="F74" s="170"/>
      <c r="G74" s="170"/>
      <c r="H74" s="170"/>
      <c r="I74" s="170"/>
      <c r="J74" s="170"/>
    </row>
    <row r="75" spans="1:10" ht="15" customHeight="1" x14ac:dyDescent="0.25">
      <c r="A75" s="170"/>
      <c r="B75" s="170"/>
      <c r="C75" s="170"/>
      <c r="D75" s="170"/>
      <c r="E75" s="170"/>
      <c r="F75" s="170"/>
      <c r="G75" s="170"/>
      <c r="H75" s="170"/>
      <c r="I75" s="170"/>
      <c r="J75" s="170"/>
    </row>
    <row r="76" spans="1:10" ht="15" customHeight="1" x14ac:dyDescent="0.25">
      <c r="A76" s="170"/>
      <c r="B76" s="170"/>
      <c r="C76" s="170"/>
      <c r="D76" s="170"/>
      <c r="E76" s="170"/>
      <c r="F76" s="170"/>
      <c r="G76" s="170"/>
      <c r="H76" s="170"/>
      <c r="I76" s="170"/>
      <c r="J76" s="170"/>
    </row>
    <row r="77" spans="1:10" ht="15" customHeight="1" x14ac:dyDescent="0.25">
      <c r="A77" s="170"/>
      <c r="B77" s="170"/>
      <c r="C77" s="170"/>
      <c r="D77" s="170"/>
      <c r="E77" s="170"/>
      <c r="F77" s="170"/>
      <c r="G77" s="170"/>
      <c r="H77" s="170"/>
      <c r="I77" s="170"/>
      <c r="J77" s="170"/>
    </row>
    <row r="78" spans="1:10" ht="15" customHeight="1" x14ac:dyDescent="0.25">
      <c r="A78" s="170"/>
      <c r="B78" s="170"/>
      <c r="C78" s="170"/>
      <c r="D78" s="170"/>
      <c r="E78" s="170"/>
      <c r="F78" s="170"/>
      <c r="G78" s="170"/>
      <c r="H78" s="170"/>
      <c r="I78" s="170"/>
      <c r="J78" s="170"/>
    </row>
    <row r="79" spans="1:10" ht="15" customHeight="1" x14ac:dyDescent="0.25">
      <c r="A79" s="170"/>
      <c r="B79" s="170"/>
      <c r="C79" s="170"/>
      <c r="D79" s="170"/>
      <c r="E79" s="170"/>
      <c r="F79" s="170"/>
      <c r="G79" s="170"/>
      <c r="H79" s="170"/>
      <c r="I79" s="170"/>
      <c r="J79" s="170"/>
    </row>
    <row r="80" spans="1:10" ht="15" customHeight="1" x14ac:dyDescent="0.25">
      <c r="A80" s="170"/>
      <c r="B80" s="170"/>
      <c r="C80" s="170"/>
      <c r="D80" s="170"/>
      <c r="E80" s="170"/>
      <c r="F80" s="170"/>
      <c r="G80" s="170"/>
      <c r="H80" s="170"/>
      <c r="I80" s="170"/>
      <c r="J80" s="170"/>
    </row>
    <row r="81" spans="1:10" ht="15" customHeight="1" x14ac:dyDescent="0.25">
      <c r="A81" s="170"/>
      <c r="B81" s="170"/>
      <c r="C81" s="170"/>
      <c r="D81" s="170"/>
      <c r="E81" s="170"/>
      <c r="F81" s="170"/>
      <c r="G81" s="170"/>
      <c r="H81" s="170"/>
      <c r="I81" s="170"/>
      <c r="J81" s="170"/>
    </row>
    <row r="82" spans="1:10" ht="15" customHeight="1" x14ac:dyDescent="0.25">
      <c r="A82" s="170"/>
      <c r="B82" s="170"/>
      <c r="C82" s="170"/>
      <c r="D82" s="170"/>
      <c r="E82" s="170"/>
      <c r="F82" s="170"/>
      <c r="G82" s="170"/>
      <c r="H82" s="170"/>
      <c r="I82" s="170"/>
      <c r="J82" s="170"/>
    </row>
    <row r="83" spans="1:10" ht="15" customHeight="1" x14ac:dyDescent="0.25">
      <c r="A83" s="170"/>
      <c r="B83" s="170"/>
      <c r="C83" s="170"/>
      <c r="D83" s="170"/>
      <c r="E83" s="170"/>
      <c r="F83" s="170"/>
      <c r="G83" s="170"/>
      <c r="H83" s="170"/>
      <c r="I83" s="170"/>
      <c r="J83" s="170"/>
    </row>
    <row r="84" spans="1:10" ht="15" customHeight="1" x14ac:dyDescent="0.25">
      <c r="A84" s="170"/>
      <c r="B84" s="170"/>
      <c r="C84" s="170"/>
      <c r="D84" s="170"/>
      <c r="E84" s="170"/>
      <c r="F84" s="170"/>
      <c r="G84" s="170"/>
      <c r="H84" s="170"/>
      <c r="I84" s="170"/>
      <c r="J84" s="170"/>
    </row>
    <row r="85" spans="1:10" ht="15" customHeight="1" x14ac:dyDescent="0.25">
      <c r="A85" s="170"/>
      <c r="B85" s="170"/>
      <c r="C85" s="170"/>
      <c r="D85" s="170"/>
      <c r="E85" s="170"/>
      <c r="F85" s="170"/>
      <c r="G85" s="170"/>
      <c r="H85" s="170"/>
      <c r="I85" s="170"/>
      <c r="J85" s="170"/>
    </row>
    <row r="86" spans="1:10" ht="15" customHeight="1" x14ac:dyDescent="0.25">
      <c r="A86" s="170"/>
      <c r="B86" s="170"/>
      <c r="C86" s="170"/>
      <c r="D86" s="170"/>
      <c r="E86" s="170"/>
      <c r="F86" s="170"/>
      <c r="G86" s="170"/>
      <c r="H86" s="170"/>
      <c r="I86" s="170"/>
      <c r="J86" s="170"/>
    </row>
    <row r="87" spans="1:10" ht="15" customHeight="1" x14ac:dyDescent="0.25">
      <c r="A87" s="170"/>
      <c r="B87" s="170"/>
      <c r="C87" s="170"/>
      <c r="D87" s="170"/>
      <c r="E87" s="170"/>
      <c r="F87" s="170"/>
      <c r="G87" s="170"/>
      <c r="H87" s="170"/>
      <c r="I87" s="170"/>
      <c r="J87" s="170"/>
    </row>
    <row r="88" spans="1:10" ht="15" customHeight="1" x14ac:dyDescent="0.25">
      <c r="A88" s="170"/>
      <c r="B88" s="170"/>
      <c r="C88" s="170"/>
      <c r="D88" s="170"/>
      <c r="E88" s="170"/>
      <c r="F88" s="170"/>
      <c r="G88" s="170"/>
      <c r="H88" s="170"/>
      <c r="I88" s="170"/>
      <c r="J88" s="170"/>
    </row>
    <row r="89" spans="1:10" ht="15" customHeight="1" x14ac:dyDescent="0.25">
      <c r="A89" s="170"/>
      <c r="B89" s="170"/>
      <c r="C89" s="170"/>
      <c r="D89" s="170"/>
      <c r="E89" s="170"/>
      <c r="F89" s="170"/>
      <c r="G89" s="170"/>
      <c r="H89" s="170"/>
      <c r="I89" s="170"/>
      <c r="J89" s="170"/>
    </row>
    <row r="90" spans="1:10" ht="15" customHeight="1" x14ac:dyDescent="0.25">
      <c r="A90" s="170"/>
      <c r="B90" s="170"/>
      <c r="C90" s="170"/>
      <c r="D90" s="170"/>
      <c r="E90" s="170"/>
      <c r="F90" s="170"/>
      <c r="G90" s="170"/>
      <c r="H90" s="170"/>
      <c r="I90" s="170"/>
      <c r="J90" s="170"/>
    </row>
    <row r="91" spans="1:10" ht="15" customHeight="1" x14ac:dyDescent="0.25">
      <c r="A91" s="170"/>
      <c r="B91" s="170"/>
      <c r="C91" s="170"/>
      <c r="D91" s="170"/>
      <c r="E91" s="170"/>
      <c r="F91" s="170"/>
      <c r="G91" s="170"/>
      <c r="H91" s="170"/>
      <c r="I91" s="170"/>
      <c r="J91" s="170"/>
    </row>
    <row r="92" spans="1:10" ht="15" customHeight="1" x14ac:dyDescent="0.25">
      <c r="A92" s="170"/>
      <c r="B92" s="170"/>
      <c r="C92" s="170"/>
      <c r="D92" s="170"/>
      <c r="E92" s="170"/>
      <c r="F92" s="170"/>
      <c r="G92" s="170"/>
      <c r="H92" s="170"/>
      <c r="I92" s="170"/>
      <c r="J92" s="170"/>
    </row>
    <row r="93" spans="1:10" ht="15" customHeight="1" x14ac:dyDescent="0.25">
      <c r="A93" s="170"/>
      <c r="B93" s="170"/>
      <c r="C93" s="170"/>
      <c r="D93" s="170"/>
      <c r="E93" s="170"/>
      <c r="F93" s="170"/>
      <c r="G93" s="170"/>
      <c r="H93" s="170"/>
      <c r="I93" s="170"/>
      <c r="J93" s="170"/>
    </row>
    <row r="94" spans="1:10" ht="15" customHeight="1" x14ac:dyDescent="0.25">
      <c r="A94" s="170"/>
      <c r="B94" s="170"/>
      <c r="C94" s="170"/>
      <c r="D94" s="170"/>
      <c r="E94" s="170"/>
      <c r="F94" s="170"/>
      <c r="G94" s="170"/>
      <c r="H94" s="170"/>
      <c r="I94" s="170"/>
      <c r="J94" s="170"/>
    </row>
    <row r="95" spans="1:10" ht="15" customHeight="1" x14ac:dyDescent="0.25">
      <c r="A95" s="170"/>
      <c r="B95" s="170"/>
      <c r="C95" s="170"/>
      <c r="D95" s="170"/>
      <c r="E95" s="170"/>
      <c r="F95" s="170"/>
      <c r="G95" s="170"/>
      <c r="H95" s="170"/>
      <c r="I95" s="170"/>
      <c r="J95" s="170"/>
    </row>
    <row r="96" spans="1:10" ht="15" customHeight="1" x14ac:dyDescent="0.25">
      <c r="A96" s="170"/>
      <c r="B96" s="170"/>
      <c r="C96" s="170"/>
      <c r="D96" s="170"/>
      <c r="E96" s="170"/>
      <c r="F96" s="170"/>
      <c r="G96" s="170"/>
      <c r="H96" s="170"/>
      <c r="I96" s="170"/>
      <c r="J96" s="170"/>
    </row>
    <row r="97" spans="1:10" ht="19.5" customHeight="1" thickBot="1" x14ac:dyDescent="0.35">
      <c r="A97" s="142" t="s">
        <v>511</v>
      </c>
      <c r="B97" s="142"/>
      <c r="C97" s="142"/>
      <c r="D97" s="142"/>
      <c r="E97" s="142"/>
      <c r="F97" s="142"/>
      <c r="G97" s="142"/>
      <c r="H97" s="142"/>
      <c r="I97" s="142"/>
      <c r="J97" s="142"/>
    </row>
    <row r="98" spans="1:10" ht="9.9499999999999993" customHeight="1" thickTop="1" x14ac:dyDescent="0.25"/>
    <row r="99" spans="1:10" ht="30" customHeight="1" x14ac:dyDescent="0.25">
      <c r="A99" s="117" t="s">
        <v>4</v>
      </c>
      <c r="B99" s="313" t="s">
        <v>548</v>
      </c>
      <c r="C99" s="314"/>
      <c r="D99" s="315"/>
      <c r="E99" s="313" t="s">
        <v>7</v>
      </c>
      <c r="F99" s="314"/>
      <c r="G99" s="315"/>
      <c r="H99" s="313" t="s">
        <v>201</v>
      </c>
      <c r="I99" s="314"/>
      <c r="J99" s="315"/>
    </row>
    <row r="100" spans="1:10" ht="30" customHeight="1" x14ac:dyDescent="0.25">
      <c r="A100" s="116">
        <v>1</v>
      </c>
      <c r="B100" s="139" t="s">
        <v>512</v>
      </c>
      <c r="C100" s="140"/>
      <c r="D100" s="141"/>
      <c r="E100" s="316" t="str">
        <f>CONCATENATE(A23,DATA!N4)</f>
        <v>15.12Kwp</v>
      </c>
      <c r="F100" s="140"/>
      <c r="G100" s="141"/>
      <c r="H100" s="155"/>
      <c r="I100" s="156"/>
      <c r="J100" s="157"/>
    </row>
    <row r="101" spans="1:10" ht="30" customHeight="1" x14ac:dyDescent="0.25">
      <c r="A101" s="116">
        <v>2</v>
      </c>
      <c r="B101" s="139" t="s">
        <v>513</v>
      </c>
      <c r="C101" s="140"/>
      <c r="D101" s="141"/>
      <c r="E101" s="139" t="s">
        <v>514</v>
      </c>
      <c r="F101" s="140"/>
      <c r="G101" s="141"/>
      <c r="H101" s="155"/>
      <c r="I101" s="156"/>
      <c r="J101" s="157"/>
    </row>
    <row r="102" spans="1:10" ht="30" customHeight="1" x14ac:dyDescent="0.25">
      <c r="A102" s="116">
        <v>3</v>
      </c>
      <c r="B102" s="139" t="s">
        <v>515</v>
      </c>
      <c r="C102" s="140"/>
      <c r="D102" s="141"/>
      <c r="E102" s="139" t="str">
        <f>CONCATENATE(QUOTATION!A23*50,DATA!N6)</f>
        <v>756   Sqft Minimum</v>
      </c>
      <c r="F102" s="140"/>
      <c r="G102" s="141"/>
      <c r="H102" s="155"/>
      <c r="I102" s="156"/>
      <c r="J102" s="157"/>
    </row>
    <row r="103" spans="1:10" ht="30" customHeight="1" x14ac:dyDescent="0.25">
      <c r="A103" s="317">
        <v>4</v>
      </c>
      <c r="B103" s="139" t="s">
        <v>538</v>
      </c>
      <c r="C103" s="140"/>
      <c r="D103" s="141"/>
      <c r="E103" s="139" t="str">
        <f>CONCATENATE(W2,DATA!N14,QUOTATION!W4)</f>
        <v>630WpTOPCON BI - FACIAL PV MODULE</v>
      </c>
      <c r="F103" s="140"/>
      <c r="G103" s="141"/>
      <c r="H103" s="155" t="s">
        <v>909</v>
      </c>
      <c r="I103" s="156"/>
      <c r="J103" s="157"/>
    </row>
    <row r="104" spans="1:10" ht="30" customHeight="1" x14ac:dyDescent="0.25">
      <c r="A104" s="318"/>
      <c r="B104" s="139" t="s">
        <v>539</v>
      </c>
      <c r="C104" s="140"/>
      <c r="D104" s="141"/>
      <c r="E104" s="139" t="str">
        <f>Y4</f>
        <v>ADANI</v>
      </c>
      <c r="F104" s="140"/>
      <c r="G104" s="141"/>
      <c r="H104" s="139" t="s">
        <v>660</v>
      </c>
      <c r="I104" s="140"/>
      <c r="J104" s="141"/>
    </row>
    <row r="105" spans="1:10" ht="30" customHeight="1" x14ac:dyDescent="0.25">
      <c r="A105" s="318"/>
      <c r="B105" s="139" t="s">
        <v>540</v>
      </c>
      <c r="C105" s="140"/>
      <c r="D105" s="141"/>
      <c r="E105" s="320">
        <v>0.21379999999999999</v>
      </c>
      <c r="F105" s="140"/>
      <c r="G105" s="141"/>
      <c r="H105" s="155"/>
      <c r="I105" s="156"/>
      <c r="J105" s="157"/>
    </row>
    <row r="106" spans="1:10" ht="30" customHeight="1" x14ac:dyDescent="0.25">
      <c r="A106" s="318"/>
      <c r="B106" s="139" t="s">
        <v>635</v>
      </c>
      <c r="C106" s="140"/>
      <c r="D106" s="141"/>
      <c r="E106" s="139" t="s">
        <v>889</v>
      </c>
      <c r="F106" s="140"/>
      <c r="G106" s="141"/>
      <c r="H106" s="321" t="s">
        <v>636</v>
      </c>
      <c r="I106" s="322"/>
      <c r="J106" s="323"/>
    </row>
    <row r="107" spans="1:10" ht="30" customHeight="1" x14ac:dyDescent="0.25">
      <c r="A107" s="317">
        <v>5</v>
      </c>
      <c r="B107" s="139" t="s">
        <v>541</v>
      </c>
      <c r="C107" s="140"/>
      <c r="D107" s="141"/>
      <c r="E107" s="139" t="str">
        <f>W5</f>
        <v>ON GRID</v>
      </c>
      <c r="F107" s="140"/>
      <c r="G107" s="141"/>
      <c r="H107" s="321" t="s">
        <v>912</v>
      </c>
      <c r="I107" s="322"/>
      <c r="J107" s="323"/>
    </row>
    <row r="108" spans="1:10" ht="30" customHeight="1" x14ac:dyDescent="0.25">
      <c r="A108" s="318"/>
      <c r="B108" s="139" t="s">
        <v>542</v>
      </c>
      <c r="C108" s="140"/>
      <c r="D108" s="141"/>
      <c r="E108" s="139" t="str">
        <f>X5</f>
        <v>INV - 15 KW</v>
      </c>
      <c r="F108" s="140"/>
      <c r="G108" s="141"/>
      <c r="H108" s="139" t="s">
        <v>660</v>
      </c>
      <c r="I108" s="140"/>
      <c r="J108" s="141"/>
    </row>
    <row r="109" spans="1:10" ht="30" customHeight="1" x14ac:dyDescent="0.25">
      <c r="A109" s="318"/>
      <c r="B109" s="139" t="s">
        <v>549</v>
      </c>
      <c r="C109" s="140"/>
      <c r="D109" s="141"/>
      <c r="E109" s="139" t="s">
        <v>910</v>
      </c>
      <c r="F109" s="140"/>
      <c r="G109" s="141"/>
      <c r="H109" s="155"/>
      <c r="I109" s="156"/>
      <c r="J109" s="157"/>
    </row>
    <row r="110" spans="1:10" ht="30" customHeight="1" x14ac:dyDescent="0.25">
      <c r="A110" s="317">
        <v>6</v>
      </c>
      <c r="B110" s="139" t="s">
        <v>519</v>
      </c>
      <c r="C110" s="140"/>
      <c r="D110" s="141"/>
      <c r="E110" s="139" t="str">
        <f>W6</f>
        <v>Elevated Structure</v>
      </c>
      <c r="F110" s="140"/>
      <c r="G110" s="141"/>
      <c r="H110" s="139" t="s">
        <v>895</v>
      </c>
      <c r="I110" s="140"/>
      <c r="J110" s="141"/>
    </row>
    <row r="111" spans="1:10" ht="30" customHeight="1" x14ac:dyDescent="0.25">
      <c r="A111" s="318"/>
      <c r="B111" s="139" t="s">
        <v>522</v>
      </c>
      <c r="C111" s="140"/>
      <c r="D111" s="141"/>
      <c r="E111" s="139" t="s">
        <v>917</v>
      </c>
      <c r="F111" s="140"/>
      <c r="G111" s="141"/>
      <c r="H111" s="155"/>
      <c r="I111" s="156"/>
      <c r="J111" s="157"/>
    </row>
    <row r="112" spans="1:10" ht="30" customHeight="1" x14ac:dyDescent="0.25">
      <c r="A112" s="116">
        <v>7</v>
      </c>
      <c r="B112" s="139" t="s">
        <v>543</v>
      </c>
      <c r="C112" s="140"/>
      <c r="D112" s="141"/>
      <c r="E112" s="139" t="s">
        <v>894</v>
      </c>
      <c r="F112" s="140"/>
      <c r="G112" s="141"/>
      <c r="H112" s="155"/>
      <c r="I112" s="156"/>
      <c r="J112" s="157"/>
    </row>
    <row r="113" spans="1:10" ht="30" customHeight="1" x14ac:dyDescent="0.25">
      <c r="A113" s="116">
        <v>8</v>
      </c>
      <c r="B113" s="139" t="s">
        <v>523</v>
      </c>
      <c r="C113" s="140"/>
      <c r="D113" s="141"/>
      <c r="E113" s="139" t="str">
        <f>W12</f>
        <v>2 STAGE PROTECTION</v>
      </c>
      <c r="F113" s="140"/>
      <c r="G113" s="141"/>
      <c r="H113" s="155"/>
      <c r="I113" s="156"/>
      <c r="J113" s="157"/>
    </row>
    <row r="114" spans="1:10" ht="30" customHeight="1" x14ac:dyDescent="0.25">
      <c r="A114" s="116">
        <v>9</v>
      </c>
      <c r="B114" s="139" t="s">
        <v>524</v>
      </c>
      <c r="C114" s="140"/>
      <c r="D114" s="141"/>
      <c r="E114" s="139" t="str">
        <f>W13</f>
        <v>2 STAGE PROTECTION</v>
      </c>
      <c r="F114" s="140"/>
      <c r="G114" s="141"/>
      <c r="H114" s="155"/>
      <c r="I114" s="156"/>
      <c r="J114" s="157"/>
    </row>
    <row r="115" spans="1:10" ht="30" customHeight="1" x14ac:dyDescent="0.25">
      <c r="A115" s="116">
        <v>10</v>
      </c>
      <c r="B115" s="139" t="s">
        <v>534</v>
      </c>
      <c r="C115" s="140"/>
      <c r="D115" s="141"/>
      <c r="E115" s="139" t="str">
        <f>W14</f>
        <v>Conventional Lightning Arrestor</v>
      </c>
      <c r="F115" s="140"/>
      <c r="G115" s="141"/>
      <c r="H115" s="155"/>
      <c r="I115" s="156"/>
      <c r="J115" s="157"/>
    </row>
    <row r="116" spans="1:10" ht="30" customHeight="1" x14ac:dyDescent="0.25">
      <c r="A116" s="116">
        <v>11</v>
      </c>
      <c r="B116" s="139" t="s">
        <v>525</v>
      </c>
      <c r="C116" s="140"/>
      <c r="D116" s="141"/>
      <c r="E116" s="139" t="str">
        <f>W15</f>
        <v>COPPER BONDED SOLID ELECTRODE</v>
      </c>
      <c r="F116" s="140"/>
      <c r="G116" s="141"/>
      <c r="H116" s="155"/>
      <c r="I116" s="156"/>
      <c r="J116" s="157"/>
    </row>
    <row r="117" spans="1:10" ht="30" customHeight="1" x14ac:dyDescent="0.25">
      <c r="A117" s="116">
        <v>12</v>
      </c>
      <c r="B117" s="139" t="s">
        <v>544</v>
      </c>
      <c r="C117" s="140"/>
      <c r="D117" s="141"/>
      <c r="E117" s="139" t="s">
        <v>545</v>
      </c>
      <c r="F117" s="140"/>
      <c r="G117" s="141"/>
      <c r="H117" s="155"/>
      <c r="I117" s="156"/>
      <c r="J117" s="157"/>
    </row>
    <row r="118" spans="1:10" ht="30" customHeight="1" x14ac:dyDescent="0.25">
      <c r="A118" s="116">
        <v>13</v>
      </c>
      <c r="B118" s="139" t="s">
        <v>546</v>
      </c>
      <c r="C118" s="140"/>
      <c r="D118" s="141"/>
      <c r="E118" s="139" t="s">
        <v>547</v>
      </c>
      <c r="F118" s="140"/>
      <c r="G118" s="141"/>
      <c r="H118" s="155"/>
      <c r="I118" s="156"/>
      <c r="J118" s="157"/>
    </row>
    <row r="119" spans="1:10" ht="30" customHeight="1" x14ac:dyDescent="0.25">
      <c r="A119" s="116">
        <v>14</v>
      </c>
      <c r="B119" s="139" t="s">
        <v>553</v>
      </c>
      <c r="C119" s="140"/>
      <c r="D119" s="141"/>
      <c r="E119" s="136">
        <f>A23*4</f>
        <v>60.48</v>
      </c>
      <c r="F119" s="137"/>
      <c r="G119" s="138"/>
      <c r="H119" s="118">
        <v>4</v>
      </c>
      <c r="I119" s="131" t="s">
        <v>904</v>
      </c>
      <c r="J119" s="132"/>
    </row>
    <row r="120" spans="1:10" ht="30" customHeight="1" x14ac:dyDescent="0.25">
      <c r="A120" s="116">
        <v>15</v>
      </c>
      <c r="B120" s="139" t="s">
        <v>550</v>
      </c>
      <c r="C120" s="140"/>
      <c r="D120" s="141"/>
      <c r="E120" s="139" t="s">
        <v>551</v>
      </c>
      <c r="F120" s="140"/>
      <c r="G120" s="141"/>
      <c r="H120" s="155"/>
      <c r="I120" s="156"/>
      <c r="J120" s="157"/>
    </row>
    <row r="121" spans="1:10" ht="30" customHeight="1" x14ac:dyDescent="0.25">
      <c r="A121" s="116">
        <v>16</v>
      </c>
      <c r="B121" s="139" t="s">
        <v>552</v>
      </c>
      <c r="C121" s="140"/>
      <c r="D121" s="141"/>
      <c r="E121" s="139" t="s">
        <v>913</v>
      </c>
      <c r="F121" s="140"/>
      <c r="G121" s="141"/>
      <c r="H121" s="155"/>
      <c r="I121" s="156"/>
      <c r="J121" s="157"/>
    </row>
    <row r="122" spans="1:10" ht="19.5" customHeight="1" thickBot="1" x14ac:dyDescent="0.35">
      <c r="A122" s="142" t="s">
        <v>3</v>
      </c>
      <c r="B122" s="142"/>
      <c r="C122" s="142"/>
      <c r="D122" s="142"/>
      <c r="E122" s="142"/>
      <c r="F122" s="142"/>
      <c r="G122" s="142"/>
      <c r="H122" s="142"/>
      <c r="I122" s="142"/>
      <c r="J122" s="142"/>
    </row>
    <row r="123" spans="1:10" ht="9.9499999999999993" customHeight="1" thickTop="1" x14ac:dyDescent="0.3">
      <c r="A123" s="90"/>
      <c r="B123" s="90"/>
      <c r="C123" s="90"/>
      <c r="D123" s="90"/>
      <c r="E123" s="90"/>
      <c r="F123" s="90"/>
      <c r="G123" s="90"/>
      <c r="H123" s="90"/>
      <c r="I123" s="90"/>
      <c r="J123" s="90"/>
    </row>
    <row r="124" spans="1:10" ht="30" customHeight="1" x14ac:dyDescent="0.25">
      <c r="A124" s="6" t="s">
        <v>4</v>
      </c>
      <c r="B124" s="319" t="s">
        <v>5</v>
      </c>
      <c r="C124" s="319"/>
      <c r="D124" s="319" t="s">
        <v>6</v>
      </c>
      <c r="E124" s="319"/>
      <c r="F124" s="319" t="s">
        <v>7</v>
      </c>
      <c r="G124" s="319"/>
      <c r="H124" s="319"/>
      <c r="I124" s="6" t="s">
        <v>8</v>
      </c>
      <c r="J124" s="6" t="s">
        <v>9</v>
      </c>
    </row>
    <row r="125" spans="1:10" ht="15" customHeight="1" x14ac:dyDescent="0.25">
      <c r="A125" s="134">
        <v>1</v>
      </c>
      <c r="B125" s="135" t="s">
        <v>637</v>
      </c>
      <c r="C125" s="135"/>
      <c r="D125" s="172" t="s">
        <v>918</v>
      </c>
      <c r="E125" s="172"/>
      <c r="F125" s="159" t="str">
        <f>Z4</f>
        <v>TOPCon (Tunnel Oxide Passivated Contact) bi-facial PV modules are next-generation high-efficiency solar panels that generate power from both front and rear surfaces. These modules utilize advanced n-type cell technology, offering higher efficiency, better low-light performance, and lower degradation rates compared to traditional PERC modules. With bifacial gain ranging from 5% to 25% depending on site conditions, TOPCon modules deliver superior energy output and long-term reliability—ideal for commercial, industrial, and utility-scale installations.</v>
      </c>
      <c r="G125" s="159"/>
      <c r="H125" s="159"/>
      <c r="I125" s="134" t="s">
        <v>10</v>
      </c>
      <c r="J125" s="171">
        <f>X2</f>
        <v>24</v>
      </c>
    </row>
    <row r="126" spans="1:10" ht="15" customHeight="1" x14ac:dyDescent="0.25">
      <c r="A126" s="134"/>
      <c r="B126" s="135"/>
      <c r="C126" s="135"/>
      <c r="D126" s="172"/>
      <c r="E126" s="172"/>
      <c r="F126" s="159"/>
      <c r="G126" s="159"/>
      <c r="H126" s="159"/>
      <c r="I126" s="134"/>
      <c r="J126" s="171"/>
    </row>
    <row r="127" spans="1:10" ht="15" customHeight="1" x14ac:dyDescent="0.25">
      <c r="A127" s="134"/>
      <c r="B127" s="135"/>
      <c r="C127" s="135"/>
      <c r="D127" s="172"/>
      <c r="E127" s="172"/>
      <c r="F127" s="159"/>
      <c r="G127" s="159"/>
      <c r="H127" s="159"/>
      <c r="I127" s="134"/>
      <c r="J127" s="171"/>
    </row>
    <row r="128" spans="1:10" ht="15" customHeight="1" x14ac:dyDescent="0.25">
      <c r="A128" s="134"/>
      <c r="B128" s="135"/>
      <c r="C128" s="135"/>
      <c r="D128" s="172"/>
      <c r="E128" s="172"/>
      <c r="F128" s="159"/>
      <c r="G128" s="159"/>
      <c r="H128" s="159"/>
      <c r="I128" s="134"/>
      <c r="J128" s="171"/>
    </row>
    <row r="129" spans="1:10" ht="15" customHeight="1" x14ac:dyDescent="0.25">
      <c r="A129" s="134"/>
      <c r="B129" s="135"/>
      <c r="C129" s="135"/>
      <c r="D129" s="172"/>
      <c r="E129" s="172"/>
      <c r="F129" s="159"/>
      <c r="G129" s="159"/>
      <c r="H129" s="159"/>
      <c r="I129" s="134"/>
      <c r="J129" s="171"/>
    </row>
    <row r="130" spans="1:10" ht="15" customHeight="1" x14ac:dyDescent="0.25">
      <c r="A130" s="134"/>
      <c r="B130" s="135"/>
      <c r="C130" s="135"/>
      <c r="D130" s="172"/>
      <c r="E130" s="172"/>
      <c r="F130" s="159"/>
      <c r="G130" s="159"/>
      <c r="H130" s="159"/>
      <c r="I130" s="134"/>
      <c r="J130" s="171"/>
    </row>
    <row r="131" spans="1:10" ht="15" customHeight="1" x14ac:dyDescent="0.25">
      <c r="A131" s="134"/>
      <c r="B131" s="135"/>
      <c r="C131" s="135"/>
      <c r="D131" s="172"/>
      <c r="E131" s="172"/>
      <c r="F131" s="159"/>
      <c r="G131" s="159"/>
      <c r="H131" s="159"/>
      <c r="I131" s="134"/>
      <c r="J131" s="171"/>
    </row>
    <row r="132" spans="1:10" ht="15" customHeight="1" x14ac:dyDescent="0.25">
      <c r="A132" s="134"/>
      <c r="B132" s="135"/>
      <c r="C132" s="135"/>
      <c r="D132" s="172"/>
      <c r="E132" s="172"/>
      <c r="F132" s="159"/>
      <c r="G132" s="159"/>
      <c r="H132" s="159"/>
      <c r="I132" s="134"/>
      <c r="J132" s="171"/>
    </row>
    <row r="133" spans="1:10" ht="15" customHeight="1" x14ac:dyDescent="0.25">
      <c r="A133" s="134"/>
      <c r="B133" s="135"/>
      <c r="C133" s="135"/>
      <c r="D133" s="172"/>
      <c r="E133" s="172"/>
      <c r="F133" s="159"/>
      <c r="G133" s="159"/>
      <c r="H133" s="159"/>
      <c r="I133" s="134"/>
      <c r="J133" s="171"/>
    </row>
    <row r="134" spans="1:10" ht="15" customHeight="1" x14ac:dyDescent="0.25">
      <c r="A134" s="134"/>
      <c r="B134" s="135"/>
      <c r="C134" s="135"/>
      <c r="D134" s="172"/>
      <c r="E134" s="172"/>
      <c r="F134" s="159"/>
      <c r="G134" s="159"/>
      <c r="H134" s="159"/>
      <c r="I134" s="134"/>
      <c r="J134" s="171"/>
    </row>
    <row r="135" spans="1:10" ht="15" customHeight="1" x14ac:dyDescent="0.25">
      <c r="A135" s="134"/>
      <c r="B135" s="135"/>
      <c r="C135" s="135"/>
      <c r="D135" s="172"/>
      <c r="E135" s="172"/>
      <c r="F135" s="159"/>
      <c r="G135" s="159"/>
      <c r="H135" s="159"/>
      <c r="I135" s="134"/>
      <c r="J135" s="171"/>
    </row>
    <row r="136" spans="1:10" ht="15" customHeight="1" x14ac:dyDescent="0.25">
      <c r="A136" s="134"/>
      <c r="B136" s="135"/>
      <c r="C136" s="135"/>
      <c r="D136" s="172"/>
      <c r="E136" s="172"/>
      <c r="F136" s="159"/>
      <c r="G136" s="159"/>
      <c r="H136" s="159"/>
      <c r="I136" s="134"/>
      <c r="J136" s="171"/>
    </row>
    <row r="137" spans="1:10" ht="15" customHeight="1" x14ac:dyDescent="0.25">
      <c r="A137" s="134"/>
      <c r="B137" s="135"/>
      <c r="C137" s="135"/>
      <c r="D137" s="172"/>
      <c r="E137" s="172"/>
      <c r="F137" s="159"/>
      <c r="G137" s="159"/>
      <c r="H137" s="159"/>
      <c r="I137" s="134"/>
      <c r="J137" s="171"/>
    </row>
    <row r="138" spans="1:10" ht="15" customHeight="1" x14ac:dyDescent="0.25">
      <c r="A138" s="134"/>
      <c r="B138" s="135"/>
      <c r="C138" s="135"/>
      <c r="D138" s="172"/>
      <c r="E138" s="172"/>
      <c r="F138" s="159"/>
      <c r="G138" s="159"/>
      <c r="H138" s="159"/>
      <c r="I138" s="134"/>
      <c r="J138" s="171"/>
    </row>
    <row r="139" spans="1:10" ht="15" customHeight="1" x14ac:dyDescent="0.25">
      <c r="A139" s="134">
        <v>2</v>
      </c>
      <c r="B139" s="184" t="s">
        <v>211</v>
      </c>
      <c r="C139" s="185"/>
      <c r="D139" s="169" t="str">
        <f>Y5</f>
        <v>SOLARYAAN</v>
      </c>
      <c r="E139" s="169"/>
      <c r="F139" s="159" t="str">
        <f>Z5</f>
        <v>HIGH YIELD - Lower startup &amp; wider MPPT voltage
EASY AND USER FRIENDLY - Fast and easy commissioning via iSolarCloud App
SAFE AND RELIABLE 
Build-in Type II DC &amp; AC SPD
C5 anti-corrosion &amp; IP65
Remote firmware updates</v>
      </c>
      <c r="G139" s="159"/>
      <c r="H139" s="159"/>
      <c r="I139" s="134" t="str">
        <f>AA5</f>
        <v>Nos</v>
      </c>
      <c r="J139" s="195">
        <v>1</v>
      </c>
    </row>
    <row r="140" spans="1:10" ht="15" customHeight="1" x14ac:dyDescent="0.25">
      <c r="A140" s="134"/>
      <c r="B140" s="186"/>
      <c r="C140" s="187"/>
      <c r="D140" s="169"/>
      <c r="E140" s="169"/>
      <c r="F140" s="159"/>
      <c r="G140" s="159"/>
      <c r="H140" s="159"/>
      <c r="I140" s="134"/>
      <c r="J140" s="196"/>
    </row>
    <row r="141" spans="1:10" ht="15" customHeight="1" x14ac:dyDescent="0.25">
      <c r="A141" s="134"/>
      <c r="B141" s="186"/>
      <c r="C141" s="187"/>
      <c r="D141" s="169"/>
      <c r="E141" s="169"/>
      <c r="F141" s="159"/>
      <c r="G141" s="159"/>
      <c r="H141" s="159"/>
      <c r="I141" s="134"/>
      <c r="J141" s="196"/>
    </row>
    <row r="142" spans="1:10" ht="15" customHeight="1" x14ac:dyDescent="0.25">
      <c r="A142" s="134"/>
      <c r="B142" s="186"/>
      <c r="C142" s="187"/>
      <c r="D142" s="169"/>
      <c r="E142" s="169"/>
      <c r="F142" s="159"/>
      <c r="G142" s="159"/>
      <c r="H142" s="159"/>
      <c r="I142" s="134"/>
      <c r="J142" s="196"/>
    </row>
    <row r="143" spans="1:10" ht="15" customHeight="1" x14ac:dyDescent="0.25">
      <c r="A143" s="134"/>
      <c r="B143" s="186"/>
      <c r="C143" s="187"/>
      <c r="D143" s="169"/>
      <c r="E143" s="169"/>
      <c r="F143" s="159"/>
      <c r="G143" s="159"/>
      <c r="H143" s="159"/>
      <c r="I143" s="134"/>
      <c r="J143" s="196"/>
    </row>
    <row r="144" spans="1:10" ht="15" customHeight="1" x14ac:dyDescent="0.25">
      <c r="A144" s="134"/>
      <c r="B144" s="186"/>
      <c r="C144" s="187"/>
      <c r="D144" s="169"/>
      <c r="E144" s="169"/>
      <c r="F144" s="159"/>
      <c r="G144" s="159"/>
      <c r="H144" s="159"/>
      <c r="I144" s="134"/>
      <c r="J144" s="196"/>
    </row>
    <row r="145" spans="1:10" ht="15" customHeight="1" x14ac:dyDescent="0.25">
      <c r="A145" s="134"/>
      <c r="B145" s="186"/>
      <c r="C145" s="187"/>
      <c r="D145" s="169"/>
      <c r="E145" s="169"/>
      <c r="F145" s="159"/>
      <c r="G145" s="159"/>
      <c r="H145" s="159"/>
      <c r="I145" s="134"/>
      <c r="J145" s="196"/>
    </row>
    <row r="146" spans="1:10" ht="15" customHeight="1" x14ac:dyDescent="0.25">
      <c r="A146" s="134"/>
      <c r="B146" s="186"/>
      <c r="C146" s="187"/>
      <c r="D146" s="169"/>
      <c r="E146" s="169"/>
      <c r="F146" s="159"/>
      <c r="G146" s="159"/>
      <c r="H146" s="159"/>
      <c r="I146" s="134"/>
      <c r="J146" s="196"/>
    </row>
    <row r="147" spans="1:10" ht="15" customHeight="1" x14ac:dyDescent="0.25">
      <c r="A147" s="134"/>
      <c r="B147" s="186"/>
      <c r="C147" s="187"/>
      <c r="D147" s="169"/>
      <c r="E147" s="169"/>
      <c r="F147" s="159"/>
      <c r="G147" s="159"/>
      <c r="H147" s="159"/>
      <c r="I147" s="134"/>
      <c r="J147" s="196"/>
    </row>
    <row r="148" spans="1:10" ht="15" customHeight="1" x14ac:dyDescent="0.25">
      <c r="A148" s="134"/>
      <c r="B148" s="186"/>
      <c r="C148" s="187"/>
      <c r="D148" s="169"/>
      <c r="E148" s="169"/>
      <c r="F148" s="159"/>
      <c r="G148" s="159"/>
      <c r="H148" s="159"/>
      <c r="I148" s="134"/>
      <c r="J148" s="196"/>
    </row>
    <row r="149" spans="1:10" ht="15" customHeight="1" x14ac:dyDescent="0.25">
      <c r="A149" s="134"/>
      <c r="B149" s="186"/>
      <c r="C149" s="187"/>
      <c r="D149" s="169"/>
      <c r="E149" s="169"/>
      <c r="F149" s="159"/>
      <c r="G149" s="159"/>
      <c r="H149" s="159"/>
      <c r="I149" s="134"/>
      <c r="J149" s="196"/>
    </row>
    <row r="150" spans="1:10" ht="15" customHeight="1" x14ac:dyDescent="0.25">
      <c r="A150" s="134"/>
      <c r="B150" s="186"/>
      <c r="C150" s="187"/>
      <c r="D150" s="169"/>
      <c r="E150" s="169"/>
      <c r="F150" s="159"/>
      <c r="G150" s="159"/>
      <c r="H150" s="159"/>
      <c r="I150" s="134"/>
      <c r="J150" s="196"/>
    </row>
    <row r="151" spans="1:10" ht="15" customHeight="1" x14ac:dyDescent="0.25">
      <c r="A151" s="134"/>
      <c r="B151" s="188"/>
      <c r="C151" s="189"/>
      <c r="D151" s="169"/>
      <c r="E151" s="169"/>
      <c r="F151" s="159"/>
      <c r="G151" s="159"/>
      <c r="H151" s="159"/>
      <c r="I151" s="134"/>
      <c r="J151" s="197"/>
    </row>
    <row r="152" spans="1:10" ht="15" customHeight="1" x14ac:dyDescent="0.25">
      <c r="A152" s="134">
        <v>3</v>
      </c>
      <c r="B152" s="135" t="s">
        <v>368</v>
      </c>
      <c r="C152" s="135"/>
      <c r="D152" s="172" t="s">
        <v>256</v>
      </c>
      <c r="E152" s="172"/>
      <c r="F152" s="159" t="str">
        <f>Z6</f>
        <v>60 Micrones Hot Dip Galvanized (GI) pipes with 2MM Thickness are steel pipes coated with a layer of zinc through a hot-dip process, providing superior corrosion resistance and long-term durability. These pipes are commonly used in solar mounting structures due to their strength, weather resistance, and maintenance-free performance. Ideal for outdoor solar installations, GI pipes ensure structural stability and extended service life in diverse environmental conditions.</v>
      </c>
      <c r="G152" s="159"/>
      <c r="H152" s="159"/>
      <c r="I152" s="134" t="str">
        <f>AA6</f>
        <v>KG</v>
      </c>
      <c r="J152" s="168">
        <f>AC6+AC7+AC8</f>
        <v>1340</v>
      </c>
    </row>
    <row r="153" spans="1:10" ht="15" customHeight="1" x14ac:dyDescent="0.25">
      <c r="A153" s="134"/>
      <c r="B153" s="135"/>
      <c r="C153" s="135"/>
      <c r="D153" s="172"/>
      <c r="E153" s="172"/>
      <c r="F153" s="159"/>
      <c r="G153" s="159"/>
      <c r="H153" s="159"/>
      <c r="I153" s="134"/>
      <c r="J153" s="168"/>
    </row>
    <row r="154" spans="1:10" ht="15" customHeight="1" x14ac:dyDescent="0.25">
      <c r="A154" s="134"/>
      <c r="B154" s="135"/>
      <c r="C154" s="135"/>
      <c r="D154" s="172"/>
      <c r="E154" s="172"/>
      <c r="F154" s="159"/>
      <c r="G154" s="159"/>
      <c r="H154" s="159"/>
      <c r="I154" s="134"/>
      <c r="J154" s="168"/>
    </row>
    <row r="155" spans="1:10" ht="15" customHeight="1" x14ac:dyDescent="0.25">
      <c r="A155" s="134"/>
      <c r="B155" s="135"/>
      <c r="C155" s="135"/>
      <c r="D155" s="172"/>
      <c r="E155" s="172"/>
      <c r="F155" s="159"/>
      <c r="G155" s="159"/>
      <c r="H155" s="159"/>
      <c r="I155" s="134"/>
      <c r="J155" s="168"/>
    </row>
    <row r="156" spans="1:10" ht="15" customHeight="1" x14ac:dyDescent="0.25">
      <c r="A156" s="134"/>
      <c r="B156" s="135"/>
      <c r="C156" s="135"/>
      <c r="D156" s="172"/>
      <c r="E156" s="172"/>
      <c r="F156" s="159"/>
      <c r="G156" s="159"/>
      <c r="H156" s="159"/>
      <c r="I156" s="134"/>
      <c r="J156" s="168"/>
    </row>
    <row r="157" spans="1:10" ht="15" customHeight="1" x14ac:dyDescent="0.25">
      <c r="A157" s="134"/>
      <c r="B157" s="135"/>
      <c r="C157" s="135"/>
      <c r="D157" s="172"/>
      <c r="E157" s="172"/>
      <c r="F157" s="159"/>
      <c r="G157" s="159"/>
      <c r="H157" s="159"/>
      <c r="I157" s="134"/>
      <c r="J157" s="168"/>
    </row>
    <row r="158" spans="1:10" ht="15" customHeight="1" x14ac:dyDescent="0.25">
      <c r="A158" s="134"/>
      <c r="B158" s="135"/>
      <c r="C158" s="135"/>
      <c r="D158" s="172"/>
      <c r="E158" s="172"/>
      <c r="F158" s="159"/>
      <c r="G158" s="159"/>
      <c r="H158" s="159"/>
      <c r="I158" s="134"/>
      <c r="J158" s="168"/>
    </row>
    <row r="159" spans="1:10" ht="15" customHeight="1" x14ac:dyDescent="0.25">
      <c r="A159" s="134"/>
      <c r="B159" s="135"/>
      <c r="C159" s="135"/>
      <c r="D159" s="172"/>
      <c r="E159" s="172"/>
      <c r="F159" s="159"/>
      <c r="G159" s="159"/>
      <c r="H159" s="159"/>
      <c r="I159" s="134"/>
      <c r="J159" s="168"/>
    </row>
    <row r="160" spans="1:10" ht="15" customHeight="1" x14ac:dyDescent="0.25">
      <c r="A160" s="134"/>
      <c r="B160" s="135"/>
      <c r="C160" s="135"/>
      <c r="D160" s="172"/>
      <c r="E160" s="172"/>
      <c r="F160" s="159"/>
      <c r="G160" s="159"/>
      <c r="H160" s="159"/>
      <c r="I160" s="134"/>
      <c r="J160" s="168"/>
    </row>
    <row r="161" spans="1:10" ht="15" customHeight="1" x14ac:dyDescent="0.25">
      <c r="A161" s="134"/>
      <c r="B161" s="135"/>
      <c r="C161" s="135"/>
      <c r="D161" s="172"/>
      <c r="E161" s="172"/>
      <c r="F161" s="159"/>
      <c r="G161" s="159"/>
      <c r="H161" s="159"/>
      <c r="I161" s="134"/>
      <c r="J161" s="168"/>
    </row>
    <row r="162" spans="1:10" ht="15" customHeight="1" x14ac:dyDescent="0.25">
      <c r="A162" s="134"/>
      <c r="B162" s="135"/>
      <c r="C162" s="135"/>
      <c r="D162" s="172"/>
      <c r="E162" s="172"/>
      <c r="F162" s="159"/>
      <c r="G162" s="159"/>
      <c r="H162" s="159"/>
      <c r="I162" s="134"/>
      <c r="J162" s="168"/>
    </row>
    <row r="163" spans="1:10" ht="15" customHeight="1" x14ac:dyDescent="0.25">
      <c r="A163" s="134"/>
      <c r="B163" s="135"/>
      <c r="C163" s="135"/>
      <c r="D163" s="172"/>
      <c r="E163" s="172"/>
      <c r="F163" s="159"/>
      <c r="G163" s="159"/>
      <c r="H163" s="159"/>
      <c r="I163" s="134"/>
      <c r="J163" s="168"/>
    </row>
    <row r="164" spans="1:10" ht="15" customHeight="1" x14ac:dyDescent="0.25">
      <c r="A164" s="192">
        <v>4</v>
      </c>
      <c r="B164" s="184" t="s">
        <v>369</v>
      </c>
      <c r="C164" s="185"/>
      <c r="D164" s="143" t="str">
        <f>Y12</f>
        <v>MCB - SCHNEIDER / LK (L&amp;T)
SPD - FINDER
ENCLOSER - (Note - ABS used till 50-60 kW)</v>
      </c>
      <c r="E164" s="144"/>
      <c r="F164" s="139" t="str">
        <f>Z12</f>
        <v>The AC Distribution Box (ACDB) is a vital component for managing and protecting the AC output from the solar inverter. It is equipped with:
MCB &amp; MCCB for short-circuit and overload protection
SPD (Surge Protection Device) to guard against voltage surges
This fully integrated ACDB ensures safe, stable, and efficient operation of solar power systems, suitable for residential, commercial, and industrial applications.</v>
      </c>
      <c r="G164" s="140"/>
      <c r="H164" s="141"/>
      <c r="I164" s="192" t="s">
        <v>596</v>
      </c>
      <c r="J164" s="195">
        <v>1</v>
      </c>
    </row>
    <row r="165" spans="1:10" ht="15" customHeight="1" x14ac:dyDescent="0.25">
      <c r="A165" s="193"/>
      <c r="B165" s="186"/>
      <c r="C165" s="187"/>
      <c r="D165" s="145"/>
      <c r="E165" s="146"/>
      <c r="F165" s="230"/>
      <c r="G165" s="231"/>
      <c r="H165" s="232"/>
      <c r="I165" s="193"/>
      <c r="J165" s="196"/>
    </row>
    <row r="166" spans="1:10" ht="15" customHeight="1" x14ac:dyDescent="0.25">
      <c r="A166" s="193"/>
      <c r="B166" s="186"/>
      <c r="C166" s="187"/>
      <c r="D166" s="145"/>
      <c r="E166" s="146"/>
      <c r="F166" s="230"/>
      <c r="G166" s="231"/>
      <c r="H166" s="232"/>
      <c r="I166" s="193"/>
      <c r="J166" s="196"/>
    </row>
    <row r="167" spans="1:10" ht="15" customHeight="1" x14ac:dyDescent="0.25">
      <c r="A167" s="193"/>
      <c r="B167" s="186"/>
      <c r="C167" s="187"/>
      <c r="D167" s="145"/>
      <c r="E167" s="146"/>
      <c r="F167" s="230"/>
      <c r="G167" s="231"/>
      <c r="H167" s="232"/>
      <c r="I167" s="193"/>
      <c r="J167" s="196"/>
    </row>
    <row r="168" spans="1:10" ht="15" customHeight="1" x14ac:dyDescent="0.25">
      <c r="A168" s="193"/>
      <c r="B168" s="186"/>
      <c r="C168" s="187"/>
      <c r="D168" s="145"/>
      <c r="E168" s="146"/>
      <c r="F168" s="230"/>
      <c r="G168" s="231"/>
      <c r="H168" s="232"/>
      <c r="I168" s="193"/>
      <c r="J168" s="196"/>
    </row>
    <row r="169" spans="1:10" ht="15" customHeight="1" x14ac:dyDescent="0.25">
      <c r="A169" s="193"/>
      <c r="B169" s="186"/>
      <c r="C169" s="187"/>
      <c r="D169" s="145"/>
      <c r="E169" s="146"/>
      <c r="F169" s="230"/>
      <c r="G169" s="231"/>
      <c r="H169" s="232"/>
      <c r="I169" s="193"/>
      <c r="J169" s="196"/>
    </row>
    <row r="170" spans="1:10" ht="15" customHeight="1" x14ac:dyDescent="0.25">
      <c r="A170" s="193"/>
      <c r="B170" s="186"/>
      <c r="C170" s="187"/>
      <c r="D170" s="145"/>
      <c r="E170" s="146"/>
      <c r="F170" s="230"/>
      <c r="G170" s="231"/>
      <c r="H170" s="232"/>
      <c r="I170" s="193"/>
      <c r="J170" s="196"/>
    </row>
    <row r="171" spans="1:10" ht="15" customHeight="1" x14ac:dyDescent="0.25">
      <c r="A171" s="193"/>
      <c r="B171" s="186"/>
      <c r="C171" s="187"/>
      <c r="D171" s="145"/>
      <c r="E171" s="146"/>
      <c r="F171" s="230"/>
      <c r="G171" s="231"/>
      <c r="H171" s="232"/>
      <c r="I171" s="193"/>
      <c r="J171" s="196"/>
    </row>
    <row r="172" spans="1:10" ht="15" customHeight="1" x14ac:dyDescent="0.25">
      <c r="A172" s="193"/>
      <c r="B172" s="186"/>
      <c r="C172" s="187"/>
      <c r="D172" s="145"/>
      <c r="E172" s="146"/>
      <c r="F172" s="230"/>
      <c r="G172" s="231"/>
      <c r="H172" s="232"/>
      <c r="I172" s="193"/>
      <c r="J172" s="196"/>
    </row>
    <row r="173" spans="1:10" ht="15" customHeight="1" x14ac:dyDescent="0.25">
      <c r="A173" s="193"/>
      <c r="B173" s="186"/>
      <c r="C173" s="187"/>
      <c r="D173" s="145"/>
      <c r="E173" s="146"/>
      <c r="F173" s="230"/>
      <c r="G173" s="231"/>
      <c r="H173" s="232"/>
      <c r="I173" s="193"/>
      <c r="J173" s="196"/>
    </row>
    <row r="174" spans="1:10" ht="15" customHeight="1" x14ac:dyDescent="0.25">
      <c r="A174" s="193"/>
      <c r="B174" s="186"/>
      <c r="C174" s="187"/>
      <c r="D174" s="145"/>
      <c r="E174" s="146"/>
      <c r="F174" s="230"/>
      <c r="G174" s="231"/>
      <c r="H174" s="232"/>
      <c r="I174" s="193"/>
      <c r="J174" s="196"/>
    </row>
    <row r="175" spans="1:10" ht="15" customHeight="1" x14ac:dyDescent="0.25">
      <c r="A175" s="193"/>
      <c r="B175" s="186"/>
      <c r="C175" s="187"/>
      <c r="D175" s="145"/>
      <c r="E175" s="146"/>
      <c r="F175" s="230"/>
      <c r="G175" s="231"/>
      <c r="H175" s="232"/>
      <c r="I175" s="193"/>
      <c r="J175" s="196"/>
    </row>
    <row r="176" spans="1:10" ht="15" customHeight="1" x14ac:dyDescent="0.25">
      <c r="A176" s="193"/>
      <c r="B176" s="186"/>
      <c r="C176" s="187"/>
      <c r="D176" s="145"/>
      <c r="E176" s="146"/>
      <c r="F176" s="230"/>
      <c r="G176" s="231"/>
      <c r="H176" s="232"/>
      <c r="I176" s="193"/>
      <c r="J176" s="196"/>
    </row>
    <row r="177" spans="1:10" ht="15" customHeight="1" x14ac:dyDescent="0.25">
      <c r="A177" s="193"/>
      <c r="B177" s="186"/>
      <c r="C177" s="187"/>
      <c r="D177" s="145"/>
      <c r="E177" s="146"/>
      <c r="F177" s="230"/>
      <c r="G177" s="231"/>
      <c r="H177" s="232"/>
      <c r="I177" s="193"/>
      <c r="J177" s="196"/>
    </row>
    <row r="178" spans="1:10" ht="15" customHeight="1" x14ac:dyDescent="0.25">
      <c r="A178" s="193"/>
      <c r="B178" s="186"/>
      <c r="C178" s="187"/>
      <c r="D178" s="145"/>
      <c r="E178" s="146"/>
      <c r="F178" s="230"/>
      <c r="G178" s="231"/>
      <c r="H178" s="232"/>
      <c r="I178" s="193"/>
      <c r="J178" s="196"/>
    </row>
    <row r="179" spans="1:10" ht="15" customHeight="1" x14ac:dyDescent="0.25">
      <c r="A179" s="193"/>
      <c r="B179" s="186"/>
      <c r="C179" s="187"/>
      <c r="D179" s="145"/>
      <c r="E179" s="146"/>
      <c r="F179" s="230"/>
      <c r="G179" s="231"/>
      <c r="H179" s="232"/>
      <c r="I179" s="193"/>
      <c r="J179" s="196"/>
    </row>
    <row r="180" spans="1:10" ht="15" customHeight="1" x14ac:dyDescent="0.25">
      <c r="A180" s="193"/>
      <c r="B180" s="186"/>
      <c r="C180" s="187"/>
      <c r="D180" s="145"/>
      <c r="E180" s="146"/>
      <c r="F180" s="230"/>
      <c r="G180" s="231"/>
      <c r="H180" s="232"/>
      <c r="I180" s="193"/>
      <c r="J180" s="196"/>
    </row>
    <row r="181" spans="1:10" ht="15" customHeight="1" x14ac:dyDescent="0.25">
      <c r="A181" s="193"/>
      <c r="B181" s="186"/>
      <c r="C181" s="187"/>
      <c r="D181" s="145"/>
      <c r="E181" s="146"/>
      <c r="F181" s="230"/>
      <c r="G181" s="231"/>
      <c r="H181" s="232"/>
      <c r="I181" s="193"/>
      <c r="J181" s="196"/>
    </row>
    <row r="182" spans="1:10" ht="15" customHeight="1" x14ac:dyDescent="0.25">
      <c r="A182" s="194"/>
      <c r="B182" s="188"/>
      <c r="C182" s="189"/>
      <c r="D182" s="190"/>
      <c r="E182" s="191"/>
      <c r="F182" s="233"/>
      <c r="G182" s="234"/>
      <c r="H182" s="235"/>
      <c r="I182" s="194"/>
      <c r="J182" s="197"/>
    </row>
    <row r="183" spans="1:10" ht="15" customHeight="1" x14ac:dyDescent="0.25">
      <c r="A183" s="134">
        <v>5</v>
      </c>
      <c r="B183" s="135" t="s">
        <v>370</v>
      </c>
      <c r="C183" s="135"/>
      <c r="D183" s="143" t="str">
        <f>Y13</f>
        <v>DC MCB - SCHNEIDER / LK (L&amp;T)
SPD - FINDER</v>
      </c>
      <c r="E183" s="144"/>
      <c r="F183" s="139" t="str">
        <f>Z13</f>
        <v>The DC Distribution Box (DCDB) is designed to protect and control the DC output from solar PV modules. It is equipped with:
DC MCB (Miniature Circuit Breaker) for protection against overcurrent and short circuits
SPD (Surge Protection Device) to protect against voltage surges and lightning-induced spikes
This robust and weatherproof DCDB ensures the safe and reliable operation of the solar power system, enhancing overall system durability.</v>
      </c>
      <c r="G183" s="140"/>
      <c r="H183" s="141"/>
      <c r="I183" s="134" t="s">
        <v>596</v>
      </c>
      <c r="J183" s="168">
        <f>J139</f>
        <v>1</v>
      </c>
    </row>
    <row r="184" spans="1:10" ht="15" customHeight="1" x14ac:dyDescent="0.25">
      <c r="A184" s="134"/>
      <c r="B184" s="135"/>
      <c r="C184" s="135"/>
      <c r="D184" s="145"/>
      <c r="E184" s="146"/>
      <c r="F184" s="230"/>
      <c r="G184" s="231"/>
      <c r="H184" s="232"/>
      <c r="I184" s="134"/>
      <c r="J184" s="168"/>
    </row>
    <row r="185" spans="1:10" ht="15" customHeight="1" x14ac:dyDescent="0.25">
      <c r="A185" s="134"/>
      <c r="B185" s="135"/>
      <c r="C185" s="135"/>
      <c r="D185" s="145"/>
      <c r="E185" s="146"/>
      <c r="F185" s="230"/>
      <c r="G185" s="231"/>
      <c r="H185" s="232"/>
      <c r="I185" s="134"/>
      <c r="J185" s="168"/>
    </row>
    <row r="186" spans="1:10" ht="15" customHeight="1" x14ac:dyDescent="0.25">
      <c r="A186" s="134"/>
      <c r="B186" s="135"/>
      <c r="C186" s="135"/>
      <c r="D186" s="145"/>
      <c r="E186" s="146"/>
      <c r="F186" s="230"/>
      <c r="G186" s="231"/>
      <c r="H186" s="232"/>
      <c r="I186" s="134"/>
      <c r="J186" s="168"/>
    </row>
    <row r="187" spans="1:10" ht="15" customHeight="1" x14ac:dyDescent="0.25">
      <c r="A187" s="134"/>
      <c r="B187" s="135"/>
      <c r="C187" s="135"/>
      <c r="D187" s="145"/>
      <c r="E187" s="146"/>
      <c r="F187" s="230"/>
      <c r="G187" s="231"/>
      <c r="H187" s="232"/>
      <c r="I187" s="134"/>
      <c r="J187" s="168"/>
    </row>
    <row r="188" spans="1:10" ht="15" customHeight="1" x14ac:dyDescent="0.25">
      <c r="A188" s="134"/>
      <c r="B188" s="135"/>
      <c r="C188" s="135"/>
      <c r="D188" s="145"/>
      <c r="E188" s="146"/>
      <c r="F188" s="230"/>
      <c r="G188" s="231"/>
      <c r="H188" s="232"/>
      <c r="I188" s="134"/>
      <c r="J188" s="168"/>
    </row>
    <row r="189" spans="1:10" ht="15" customHeight="1" x14ac:dyDescent="0.25">
      <c r="A189" s="134"/>
      <c r="B189" s="135"/>
      <c r="C189" s="135"/>
      <c r="D189" s="145"/>
      <c r="E189" s="146"/>
      <c r="F189" s="230"/>
      <c r="G189" s="231"/>
      <c r="H189" s="232"/>
      <c r="I189" s="134"/>
      <c r="J189" s="168"/>
    </row>
    <row r="190" spans="1:10" ht="15" customHeight="1" x14ac:dyDescent="0.25">
      <c r="A190" s="134"/>
      <c r="B190" s="135"/>
      <c r="C190" s="135"/>
      <c r="D190" s="145"/>
      <c r="E190" s="146"/>
      <c r="F190" s="230"/>
      <c r="G190" s="231"/>
      <c r="H190" s="232"/>
      <c r="I190" s="134"/>
      <c r="J190" s="168"/>
    </row>
    <row r="191" spans="1:10" ht="15" customHeight="1" x14ac:dyDescent="0.25">
      <c r="A191" s="134"/>
      <c r="B191" s="135"/>
      <c r="C191" s="135"/>
      <c r="D191" s="145"/>
      <c r="E191" s="146"/>
      <c r="F191" s="230"/>
      <c r="G191" s="231"/>
      <c r="H191" s="232"/>
      <c r="I191" s="134"/>
      <c r="J191" s="168"/>
    </row>
    <row r="192" spans="1:10" ht="15" customHeight="1" x14ac:dyDescent="0.25">
      <c r="A192" s="134"/>
      <c r="B192" s="135"/>
      <c r="C192" s="135"/>
      <c r="D192" s="145"/>
      <c r="E192" s="146"/>
      <c r="F192" s="230"/>
      <c r="G192" s="231"/>
      <c r="H192" s="232"/>
      <c r="I192" s="134"/>
      <c r="J192" s="168"/>
    </row>
    <row r="193" spans="1:10" ht="15" customHeight="1" x14ac:dyDescent="0.25">
      <c r="A193" s="134"/>
      <c r="B193" s="135"/>
      <c r="C193" s="135"/>
      <c r="D193" s="145"/>
      <c r="E193" s="146"/>
      <c r="F193" s="230"/>
      <c r="G193" s="231"/>
      <c r="H193" s="232"/>
      <c r="I193" s="134"/>
      <c r="J193" s="168"/>
    </row>
    <row r="194" spans="1:10" ht="15" customHeight="1" x14ac:dyDescent="0.25">
      <c r="A194" s="134"/>
      <c r="B194" s="135"/>
      <c r="C194" s="135"/>
      <c r="D194" s="145"/>
      <c r="E194" s="146"/>
      <c r="F194" s="230"/>
      <c r="G194" s="231"/>
      <c r="H194" s="232"/>
      <c r="I194" s="134"/>
      <c r="J194" s="168"/>
    </row>
    <row r="195" spans="1:10" ht="15" customHeight="1" x14ac:dyDescent="0.25">
      <c r="A195" s="134">
        <v>6</v>
      </c>
      <c r="B195" s="135" t="s">
        <v>371</v>
      </c>
      <c r="C195" s="135"/>
      <c r="D195" s="172" t="str">
        <f>X14</f>
        <v>Conventional Lightning Arrestor</v>
      </c>
      <c r="E195" s="169"/>
      <c r="F195" s="139" t="str">
        <f>Z14</f>
        <v>Provides conical protection MOC.
Copper with required Spikes for Building and Chimneys Protection</v>
      </c>
      <c r="G195" s="140"/>
      <c r="H195" s="141"/>
      <c r="I195" s="134" t="str">
        <f>AA14</f>
        <v>NOS</v>
      </c>
      <c r="J195" s="171">
        <f>AC14</f>
        <v>1</v>
      </c>
    </row>
    <row r="196" spans="1:10" ht="15" customHeight="1" x14ac:dyDescent="0.25">
      <c r="A196" s="134"/>
      <c r="B196" s="135"/>
      <c r="C196" s="135"/>
      <c r="D196" s="169"/>
      <c r="E196" s="169"/>
      <c r="F196" s="230"/>
      <c r="G196" s="231"/>
      <c r="H196" s="232"/>
      <c r="I196" s="134"/>
      <c r="J196" s="171"/>
    </row>
    <row r="197" spans="1:10" ht="15" customHeight="1" x14ac:dyDescent="0.25">
      <c r="A197" s="134"/>
      <c r="B197" s="135"/>
      <c r="C197" s="135"/>
      <c r="D197" s="169"/>
      <c r="E197" s="169"/>
      <c r="F197" s="230"/>
      <c r="G197" s="231"/>
      <c r="H197" s="232"/>
      <c r="I197" s="134"/>
      <c r="J197" s="171"/>
    </row>
    <row r="198" spans="1:10" ht="15" customHeight="1" x14ac:dyDescent="0.25">
      <c r="A198" s="134"/>
      <c r="B198" s="135"/>
      <c r="C198" s="135"/>
      <c r="D198" s="169"/>
      <c r="E198" s="169"/>
      <c r="F198" s="230"/>
      <c r="G198" s="231"/>
      <c r="H198" s="232"/>
      <c r="I198" s="134"/>
      <c r="J198" s="171"/>
    </row>
    <row r="199" spans="1:10" ht="15" customHeight="1" x14ac:dyDescent="0.25">
      <c r="A199" s="134"/>
      <c r="B199" s="135"/>
      <c r="C199" s="135"/>
      <c r="D199" s="169"/>
      <c r="E199" s="169"/>
      <c r="F199" s="230"/>
      <c r="G199" s="231"/>
      <c r="H199" s="232"/>
      <c r="I199" s="134"/>
      <c r="J199" s="171"/>
    </row>
    <row r="200" spans="1:10" ht="15" customHeight="1" x14ac:dyDescent="0.25">
      <c r="A200" s="134"/>
      <c r="B200" s="135"/>
      <c r="C200" s="135"/>
      <c r="D200" s="169"/>
      <c r="E200" s="169"/>
      <c r="F200" s="230"/>
      <c r="G200" s="231"/>
      <c r="H200" s="232"/>
      <c r="I200" s="134"/>
      <c r="J200" s="171"/>
    </row>
    <row r="201" spans="1:10" ht="15" customHeight="1" x14ac:dyDescent="0.25">
      <c r="A201" s="134"/>
      <c r="B201" s="135"/>
      <c r="C201" s="135"/>
      <c r="D201" s="169"/>
      <c r="E201" s="169"/>
      <c r="F201" s="230"/>
      <c r="G201" s="231"/>
      <c r="H201" s="232"/>
      <c r="I201" s="134"/>
      <c r="J201" s="171"/>
    </row>
    <row r="202" spans="1:10" ht="15" customHeight="1" x14ac:dyDescent="0.25">
      <c r="A202" s="134"/>
      <c r="B202" s="135"/>
      <c r="C202" s="135"/>
      <c r="D202" s="169"/>
      <c r="E202" s="169"/>
      <c r="F202" s="230"/>
      <c r="G202" s="231"/>
      <c r="H202" s="232"/>
      <c r="I202" s="134"/>
      <c r="J202" s="171"/>
    </row>
    <row r="203" spans="1:10" ht="15" customHeight="1" x14ac:dyDescent="0.25">
      <c r="A203" s="134"/>
      <c r="B203" s="135"/>
      <c r="C203" s="135"/>
      <c r="D203" s="169"/>
      <c r="E203" s="169"/>
      <c r="F203" s="230"/>
      <c r="G203" s="231"/>
      <c r="H203" s="232"/>
      <c r="I203" s="134"/>
      <c r="J203" s="171"/>
    </row>
    <row r="204" spans="1:10" ht="15" customHeight="1" x14ac:dyDescent="0.25">
      <c r="A204" s="134"/>
      <c r="B204" s="135"/>
      <c r="C204" s="135"/>
      <c r="D204" s="169"/>
      <c r="E204" s="169"/>
      <c r="F204" s="230"/>
      <c r="G204" s="231"/>
      <c r="H204" s="232"/>
      <c r="I204" s="134"/>
      <c r="J204" s="171"/>
    </row>
    <row r="205" spans="1:10" ht="15" customHeight="1" x14ac:dyDescent="0.25">
      <c r="A205" s="134"/>
      <c r="B205" s="135"/>
      <c r="C205" s="135"/>
      <c r="D205" s="169"/>
      <c r="E205" s="169"/>
      <c r="F205" s="230"/>
      <c r="G205" s="231"/>
      <c r="H205" s="232"/>
      <c r="I205" s="134"/>
      <c r="J205" s="171"/>
    </row>
    <row r="206" spans="1:10" ht="15" customHeight="1" x14ac:dyDescent="0.25">
      <c r="A206" s="134"/>
      <c r="B206" s="135"/>
      <c r="C206" s="135"/>
      <c r="D206" s="169"/>
      <c r="E206" s="169"/>
      <c r="F206" s="230"/>
      <c r="G206" s="231"/>
      <c r="H206" s="232"/>
      <c r="I206" s="134"/>
      <c r="J206" s="171"/>
    </row>
    <row r="207" spans="1:10" ht="15" customHeight="1" x14ac:dyDescent="0.25">
      <c r="A207" s="134"/>
      <c r="B207" s="135"/>
      <c r="C207" s="135"/>
      <c r="D207" s="169"/>
      <c r="E207" s="169"/>
      <c r="F207" s="230"/>
      <c r="G207" s="231"/>
      <c r="H207" s="232"/>
      <c r="I207" s="134"/>
      <c r="J207" s="171"/>
    </row>
    <row r="208" spans="1:10" ht="15" customHeight="1" x14ac:dyDescent="0.25">
      <c r="A208" s="134"/>
      <c r="B208" s="135"/>
      <c r="C208" s="135"/>
      <c r="D208" s="169"/>
      <c r="E208" s="169"/>
      <c r="F208" s="230"/>
      <c r="G208" s="231"/>
      <c r="H208" s="232"/>
      <c r="I208" s="134"/>
      <c r="J208" s="171"/>
    </row>
    <row r="209" spans="1:10" ht="15" customHeight="1" x14ac:dyDescent="0.25">
      <c r="A209" s="134"/>
      <c r="B209" s="135"/>
      <c r="C209" s="135"/>
      <c r="D209" s="169"/>
      <c r="E209" s="169"/>
      <c r="F209" s="230"/>
      <c r="G209" s="231"/>
      <c r="H209" s="232"/>
      <c r="I209" s="134"/>
      <c r="J209" s="171"/>
    </row>
    <row r="210" spans="1:10" ht="15" customHeight="1" x14ac:dyDescent="0.25">
      <c r="A210" s="134"/>
      <c r="B210" s="135"/>
      <c r="C210" s="135"/>
      <c r="D210" s="169"/>
      <c r="E210" s="169"/>
      <c r="F210" s="230"/>
      <c r="G210" s="231"/>
      <c r="H210" s="232"/>
      <c r="I210" s="134"/>
      <c r="J210" s="171"/>
    </row>
    <row r="211" spans="1:10" ht="15" customHeight="1" x14ac:dyDescent="0.25">
      <c r="A211" s="134"/>
      <c r="B211" s="135"/>
      <c r="C211" s="135"/>
      <c r="D211" s="169"/>
      <c r="E211" s="169"/>
      <c r="F211" s="230"/>
      <c r="G211" s="231"/>
      <c r="H211" s="232"/>
      <c r="I211" s="134"/>
      <c r="J211" s="171"/>
    </row>
    <row r="212" spans="1:10" ht="15" customHeight="1" x14ac:dyDescent="0.25">
      <c r="A212" s="134"/>
      <c r="B212" s="135"/>
      <c r="C212" s="135"/>
      <c r="D212" s="169"/>
      <c r="E212" s="169"/>
      <c r="F212" s="230"/>
      <c r="G212" s="231"/>
      <c r="H212" s="232"/>
      <c r="I212" s="134"/>
      <c r="J212" s="171"/>
    </row>
    <row r="213" spans="1:10" ht="15" customHeight="1" x14ac:dyDescent="0.25">
      <c r="A213" s="134"/>
      <c r="B213" s="135"/>
      <c r="C213" s="135"/>
      <c r="D213" s="169"/>
      <c r="E213" s="169"/>
      <c r="F213" s="230"/>
      <c r="G213" s="231"/>
      <c r="H213" s="232"/>
      <c r="I213" s="134"/>
      <c r="J213" s="171"/>
    </row>
    <row r="214" spans="1:10" ht="15" customHeight="1" x14ac:dyDescent="0.25">
      <c r="A214" s="134">
        <v>7</v>
      </c>
      <c r="B214" s="135" t="str">
        <f>V15</f>
        <v>EARTHING ROAD</v>
      </c>
      <c r="C214" s="135"/>
      <c r="D214" s="172" t="str">
        <f>X15</f>
        <v>ERTH  - COPPER BONDED SOLID ELECTRODE</v>
      </c>
      <c r="E214" s="172"/>
      <c r="F214" s="159" t="str">
        <f>Z15</f>
        <v>Copper Bonded Earth rods made from high tensile low carbon steel by molecularly bonding 99.9% pure copper with a minimum coating thickness of 250 micron System is Corrosion resistant &amp; rated for high fault currents
Moisture booster chemical bags provided for low earth resistance
Low maintenance on site</v>
      </c>
      <c r="G214" s="159"/>
      <c r="H214" s="159"/>
      <c r="I214" s="134" t="str">
        <f>AA15</f>
        <v>NOS</v>
      </c>
      <c r="J214" s="171">
        <f>AC15</f>
        <v>3</v>
      </c>
    </row>
    <row r="215" spans="1:10" ht="15" customHeight="1" x14ac:dyDescent="0.25">
      <c r="A215" s="134"/>
      <c r="B215" s="135"/>
      <c r="C215" s="135"/>
      <c r="D215" s="172"/>
      <c r="E215" s="172"/>
      <c r="F215" s="159"/>
      <c r="G215" s="159"/>
      <c r="H215" s="159"/>
      <c r="I215" s="134"/>
      <c r="J215" s="171"/>
    </row>
    <row r="216" spans="1:10" ht="15" customHeight="1" x14ac:dyDescent="0.25">
      <c r="A216" s="134"/>
      <c r="B216" s="135"/>
      <c r="C216" s="135"/>
      <c r="D216" s="172"/>
      <c r="E216" s="172"/>
      <c r="F216" s="159"/>
      <c r="G216" s="159"/>
      <c r="H216" s="159"/>
      <c r="I216" s="134"/>
      <c r="J216" s="171"/>
    </row>
    <row r="217" spans="1:10" ht="15" customHeight="1" x14ac:dyDescent="0.25">
      <c r="A217" s="134"/>
      <c r="B217" s="135"/>
      <c r="C217" s="135"/>
      <c r="D217" s="172"/>
      <c r="E217" s="172"/>
      <c r="F217" s="159"/>
      <c r="G217" s="159"/>
      <c r="H217" s="159"/>
      <c r="I217" s="134"/>
      <c r="J217" s="171"/>
    </row>
    <row r="218" spans="1:10" ht="15" customHeight="1" x14ac:dyDescent="0.25">
      <c r="A218" s="134"/>
      <c r="B218" s="135"/>
      <c r="C218" s="135"/>
      <c r="D218" s="172"/>
      <c r="E218" s="172"/>
      <c r="F218" s="159"/>
      <c r="G218" s="159"/>
      <c r="H218" s="159"/>
      <c r="I218" s="134"/>
      <c r="J218" s="171"/>
    </row>
    <row r="219" spans="1:10" ht="15" customHeight="1" x14ac:dyDescent="0.25">
      <c r="A219" s="134"/>
      <c r="B219" s="135"/>
      <c r="C219" s="135"/>
      <c r="D219" s="172"/>
      <c r="E219" s="172"/>
      <c r="F219" s="159"/>
      <c r="G219" s="159"/>
      <c r="H219" s="159"/>
      <c r="I219" s="134"/>
      <c r="J219" s="171"/>
    </row>
    <row r="220" spans="1:10" ht="15" customHeight="1" x14ac:dyDescent="0.25">
      <c r="A220" s="134"/>
      <c r="B220" s="135"/>
      <c r="C220" s="135"/>
      <c r="D220" s="172"/>
      <c r="E220" s="172"/>
      <c r="F220" s="159"/>
      <c r="G220" s="159"/>
      <c r="H220" s="159"/>
      <c r="I220" s="134"/>
      <c r="J220" s="171"/>
    </row>
    <row r="221" spans="1:10" ht="15" customHeight="1" x14ac:dyDescent="0.25">
      <c r="A221" s="134">
        <v>8</v>
      </c>
      <c r="B221" s="135" t="str">
        <f>V16</f>
        <v>DC CABLE</v>
      </c>
      <c r="C221" s="135"/>
      <c r="D221" s="172" t="str">
        <f>Y16</f>
        <v>APAR / POLYCAB / RR KABEL / HAVELLS</v>
      </c>
      <c r="E221" s="172"/>
      <c r="F221" s="159" t="str">
        <f>Z16</f>
        <v>Supply and laying of DC 1 Core x 6.0 sqmm copper flexible cable (Apar / Polycab / RR Kabel / Havells make), XLPE insulated, UV and weather resistant, suitable for interconnection of solar PV modules and DC circuits. Ensures high conductivity, low voltage drop, and long-term outdoor durability.</v>
      </c>
      <c r="G221" s="159"/>
      <c r="H221" s="159"/>
      <c r="I221" s="134" t="s">
        <v>11</v>
      </c>
      <c r="J221" s="171">
        <f>AC16</f>
        <v>150</v>
      </c>
    </row>
    <row r="222" spans="1:10" ht="15" customHeight="1" x14ac:dyDescent="0.25">
      <c r="A222" s="134"/>
      <c r="B222" s="135"/>
      <c r="C222" s="135"/>
      <c r="D222" s="172"/>
      <c r="E222" s="172"/>
      <c r="F222" s="159"/>
      <c r="G222" s="159"/>
      <c r="H222" s="159"/>
      <c r="I222" s="134"/>
      <c r="J222" s="171"/>
    </row>
    <row r="223" spans="1:10" ht="15" customHeight="1" x14ac:dyDescent="0.25">
      <c r="A223" s="134"/>
      <c r="B223" s="135"/>
      <c r="C223" s="135"/>
      <c r="D223" s="172"/>
      <c r="E223" s="172"/>
      <c r="F223" s="159"/>
      <c r="G223" s="159"/>
      <c r="H223" s="159"/>
      <c r="I223" s="134"/>
      <c r="J223" s="171"/>
    </row>
    <row r="224" spans="1:10" ht="15" customHeight="1" x14ac:dyDescent="0.25">
      <c r="A224" s="134"/>
      <c r="B224" s="135"/>
      <c r="C224" s="135"/>
      <c r="D224" s="172"/>
      <c r="E224" s="172"/>
      <c r="F224" s="159"/>
      <c r="G224" s="159"/>
      <c r="H224" s="159"/>
      <c r="I224" s="134"/>
      <c r="J224" s="171"/>
    </row>
    <row r="225" spans="1:10" ht="15" customHeight="1" x14ac:dyDescent="0.25">
      <c r="A225" s="134"/>
      <c r="B225" s="135"/>
      <c r="C225" s="135"/>
      <c r="D225" s="172"/>
      <c r="E225" s="172"/>
      <c r="F225" s="159"/>
      <c r="G225" s="159"/>
      <c r="H225" s="159"/>
      <c r="I225" s="134"/>
      <c r="J225" s="171"/>
    </row>
    <row r="226" spans="1:10" ht="15" customHeight="1" x14ac:dyDescent="0.25">
      <c r="A226" s="134"/>
      <c r="B226" s="135"/>
      <c r="C226" s="135"/>
      <c r="D226" s="172"/>
      <c r="E226" s="172"/>
      <c r="F226" s="159"/>
      <c r="G226" s="159"/>
      <c r="H226" s="159"/>
      <c r="I226" s="134"/>
      <c r="J226" s="171"/>
    </row>
    <row r="227" spans="1:10" ht="15" customHeight="1" x14ac:dyDescent="0.25">
      <c r="A227" s="134"/>
      <c r="B227" s="135"/>
      <c r="C227" s="135"/>
      <c r="D227" s="172"/>
      <c r="E227" s="172"/>
      <c r="F227" s="159"/>
      <c r="G227" s="159"/>
      <c r="H227" s="159"/>
      <c r="I227" s="134"/>
      <c r="J227" s="171"/>
    </row>
    <row r="228" spans="1:10" ht="15" customHeight="1" x14ac:dyDescent="0.25">
      <c r="A228" s="134">
        <v>9</v>
      </c>
      <c r="B228" s="135" t="str">
        <f>V17</f>
        <v>AC CABLE</v>
      </c>
      <c r="C228" s="135"/>
      <c r="D228" s="172" t="str">
        <f>Y17</f>
        <v>APAR / POLYCAB / RR KABEL / HAVELLS</v>
      </c>
      <c r="E228" s="172"/>
      <c r="F228" s="159" t="str">
        <f>Z17</f>
        <v>Supply and laying of AC 4 Core x 16 sqmm Aluminium Armoured Cable (Apar / Polycab / RR Kabel / Havells make), XLPE insulated, PVC sheathed, heavy-duty cable suitable for underground or outdoor AC power transmission in solar power systems. Offers mechanical protection, thermal endurance, and reliable performance under load conditions.</v>
      </c>
      <c r="G228" s="159"/>
      <c r="H228" s="159"/>
      <c r="I228" s="134" t="s">
        <v>11</v>
      </c>
      <c r="J228" s="171">
        <f>AC17</f>
        <v>100</v>
      </c>
    </row>
    <row r="229" spans="1:10" ht="15" customHeight="1" x14ac:dyDescent="0.25">
      <c r="A229" s="134"/>
      <c r="B229" s="135"/>
      <c r="C229" s="135"/>
      <c r="D229" s="172"/>
      <c r="E229" s="172"/>
      <c r="F229" s="159"/>
      <c r="G229" s="159"/>
      <c r="H229" s="159"/>
      <c r="I229" s="134"/>
      <c r="J229" s="171"/>
    </row>
    <row r="230" spans="1:10" ht="15" customHeight="1" x14ac:dyDescent="0.25">
      <c r="A230" s="134"/>
      <c r="B230" s="135"/>
      <c r="C230" s="135"/>
      <c r="D230" s="172"/>
      <c r="E230" s="172"/>
      <c r="F230" s="159"/>
      <c r="G230" s="159"/>
      <c r="H230" s="159"/>
      <c r="I230" s="134"/>
      <c r="J230" s="171"/>
    </row>
    <row r="231" spans="1:10" ht="15" customHeight="1" x14ac:dyDescent="0.25">
      <c r="A231" s="134"/>
      <c r="B231" s="135"/>
      <c r="C231" s="135"/>
      <c r="D231" s="172"/>
      <c r="E231" s="172"/>
      <c r="F231" s="159"/>
      <c r="G231" s="159"/>
      <c r="H231" s="159"/>
      <c r="I231" s="134"/>
      <c r="J231" s="171"/>
    </row>
    <row r="232" spans="1:10" ht="15" customHeight="1" x14ac:dyDescent="0.25">
      <c r="A232" s="134"/>
      <c r="B232" s="135"/>
      <c r="C232" s="135"/>
      <c r="D232" s="172"/>
      <c r="E232" s="172"/>
      <c r="F232" s="159"/>
      <c r="G232" s="159"/>
      <c r="H232" s="159"/>
      <c r="I232" s="134"/>
      <c r="J232" s="171"/>
    </row>
    <row r="233" spans="1:10" ht="15" customHeight="1" x14ac:dyDescent="0.25">
      <c r="A233" s="134"/>
      <c r="B233" s="135"/>
      <c r="C233" s="135"/>
      <c r="D233" s="172"/>
      <c r="E233" s="172"/>
      <c r="F233" s="159"/>
      <c r="G233" s="159"/>
      <c r="H233" s="159"/>
      <c r="I233" s="134"/>
      <c r="J233" s="171"/>
    </row>
    <row r="234" spans="1:10" ht="15" customHeight="1" x14ac:dyDescent="0.25">
      <c r="A234" s="134"/>
      <c r="B234" s="135"/>
      <c r="C234" s="135"/>
      <c r="D234" s="172"/>
      <c r="E234" s="172"/>
      <c r="F234" s="159"/>
      <c r="G234" s="159"/>
      <c r="H234" s="159"/>
      <c r="I234" s="134"/>
      <c r="J234" s="171"/>
    </row>
    <row r="235" spans="1:10" ht="15" customHeight="1" x14ac:dyDescent="0.25">
      <c r="A235" s="134"/>
      <c r="B235" s="135"/>
      <c r="C235" s="135"/>
      <c r="D235" s="172"/>
      <c r="E235" s="172"/>
      <c r="F235" s="159"/>
      <c r="G235" s="159"/>
      <c r="H235" s="159"/>
      <c r="I235" s="134"/>
      <c r="J235" s="171"/>
    </row>
    <row r="236" spans="1:10" ht="15" customHeight="1" x14ac:dyDescent="0.25">
      <c r="A236" s="134"/>
      <c r="B236" s="135"/>
      <c r="C236" s="135"/>
      <c r="D236" s="172"/>
      <c r="E236" s="172"/>
      <c r="F236" s="159"/>
      <c r="G236" s="159"/>
      <c r="H236" s="159"/>
      <c r="I236" s="134"/>
      <c r="J236" s="171"/>
    </row>
    <row r="237" spans="1:10" ht="15" customHeight="1" x14ac:dyDescent="0.25">
      <c r="A237" s="134">
        <v>10</v>
      </c>
      <c r="B237" s="135" t="str">
        <f>V18</f>
        <v>AC CABLE- 2</v>
      </c>
      <c r="C237" s="135"/>
      <c r="D237" s="172" t="str">
        <f>Y18</f>
        <v>APAR / POLYCAB / RR KABEL / HAVELLS</v>
      </c>
      <c r="E237" s="172"/>
      <c r="F237" s="159" t="str">
        <f>Z18</f>
        <v>Supply and laying of AC 3.5 Core x 185 sqmm Aluminium Armoured Cable (Apar / Polycab / RR Kabel / Havells make), XLPE insulated, PVC sheathed, heavy-duty cable suitable for LT power distribution in large-scale solar installations. Ensures high current-carrying capacity, robust mechanical protection, and reliable performance in outdoor and underground applications under continuous load.</v>
      </c>
      <c r="G237" s="159"/>
      <c r="H237" s="159"/>
      <c r="I237" s="134" t="s">
        <v>11</v>
      </c>
      <c r="J237" s="171">
        <f>AC18</f>
        <v>0</v>
      </c>
    </row>
    <row r="238" spans="1:10" ht="15" customHeight="1" x14ac:dyDescent="0.25">
      <c r="A238" s="134"/>
      <c r="B238" s="135"/>
      <c r="C238" s="135"/>
      <c r="D238" s="172"/>
      <c r="E238" s="172"/>
      <c r="F238" s="159"/>
      <c r="G238" s="159"/>
      <c r="H238" s="159"/>
      <c r="I238" s="134"/>
      <c r="J238" s="171"/>
    </row>
    <row r="239" spans="1:10" ht="15" customHeight="1" x14ac:dyDescent="0.25">
      <c r="A239" s="134"/>
      <c r="B239" s="135"/>
      <c r="C239" s="135"/>
      <c r="D239" s="172"/>
      <c r="E239" s="172"/>
      <c r="F239" s="159"/>
      <c r="G239" s="159"/>
      <c r="H239" s="159"/>
      <c r="I239" s="134"/>
      <c r="J239" s="171"/>
    </row>
    <row r="240" spans="1:10" ht="15" customHeight="1" x14ac:dyDescent="0.25">
      <c r="A240" s="134"/>
      <c r="B240" s="135"/>
      <c r="C240" s="135"/>
      <c r="D240" s="172"/>
      <c r="E240" s="172"/>
      <c r="F240" s="159"/>
      <c r="G240" s="159"/>
      <c r="H240" s="159"/>
      <c r="I240" s="134"/>
      <c r="J240" s="171"/>
    </row>
    <row r="241" spans="1:10" ht="15" customHeight="1" x14ac:dyDescent="0.25">
      <c r="A241" s="134"/>
      <c r="B241" s="135"/>
      <c r="C241" s="135"/>
      <c r="D241" s="172"/>
      <c r="E241" s="172"/>
      <c r="F241" s="159"/>
      <c r="G241" s="159"/>
      <c r="H241" s="159"/>
      <c r="I241" s="134"/>
      <c r="J241" s="171"/>
    </row>
    <row r="242" spans="1:10" ht="15" customHeight="1" x14ac:dyDescent="0.25">
      <c r="A242" s="134"/>
      <c r="B242" s="135"/>
      <c r="C242" s="135"/>
      <c r="D242" s="172"/>
      <c r="E242" s="172"/>
      <c r="F242" s="159"/>
      <c r="G242" s="159"/>
      <c r="H242" s="159"/>
      <c r="I242" s="134"/>
      <c r="J242" s="171"/>
    </row>
    <row r="243" spans="1:10" ht="15" customHeight="1" x14ac:dyDescent="0.25">
      <c r="A243" s="134"/>
      <c r="B243" s="135"/>
      <c r="C243" s="135"/>
      <c r="D243" s="172"/>
      <c r="E243" s="172"/>
      <c r="F243" s="159"/>
      <c r="G243" s="159"/>
      <c r="H243" s="159"/>
      <c r="I243" s="134"/>
      <c r="J243" s="171"/>
    </row>
    <row r="244" spans="1:10" ht="15" customHeight="1" x14ac:dyDescent="0.25">
      <c r="A244" s="134"/>
      <c r="B244" s="135"/>
      <c r="C244" s="135"/>
      <c r="D244" s="172"/>
      <c r="E244" s="172"/>
      <c r="F244" s="159"/>
      <c r="G244" s="159"/>
      <c r="H244" s="159"/>
      <c r="I244" s="134"/>
      <c r="J244" s="171"/>
    </row>
    <row r="245" spans="1:10" ht="15" customHeight="1" x14ac:dyDescent="0.25">
      <c r="A245" s="134"/>
      <c r="B245" s="135"/>
      <c r="C245" s="135"/>
      <c r="D245" s="172"/>
      <c r="E245" s="172"/>
      <c r="F245" s="159"/>
      <c r="G245" s="159"/>
      <c r="H245" s="159"/>
      <c r="I245" s="134"/>
      <c r="J245" s="171"/>
    </row>
    <row r="246" spans="1:10" ht="15" customHeight="1" x14ac:dyDescent="0.25">
      <c r="A246" s="134"/>
      <c r="B246" s="135"/>
      <c r="C246" s="135"/>
      <c r="D246" s="172"/>
      <c r="E246" s="172"/>
      <c r="F246" s="159"/>
      <c r="G246" s="159"/>
      <c r="H246" s="159"/>
      <c r="I246" s="134"/>
      <c r="J246" s="171"/>
    </row>
    <row r="247" spans="1:10" ht="15" customHeight="1" x14ac:dyDescent="0.25">
      <c r="A247" s="134">
        <v>11</v>
      </c>
      <c r="B247" s="135" t="str">
        <f>V19</f>
        <v>EARTHING CABLE / STRIP</v>
      </c>
      <c r="C247" s="135"/>
      <c r="D247" s="172" t="str">
        <f>Y19</f>
        <v>INDOCAB</v>
      </c>
      <c r="E247" s="172"/>
      <c r="F247" s="159" t="str">
        <f>Z19</f>
        <v>Supply and laying of Earth 1 Core x 4.0 sqmm Copper Cable, PVC insulated, single-core, suitable for effective grounding of solar PV structures and equipment. Provides excellent conductivity, mechanical strength, and reliable fault current dissipation for enhanced system safety.</v>
      </c>
      <c r="G247" s="159"/>
      <c r="H247" s="159"/>
      <c r="I247" s="158" t="s">
        <v>257</v>
      </c>
      <c r="J247" s="171">
        <f>AC19</f>
        <v>200</v>
      </c>
    </row>
    <row r="248" spans="1:10" ht="15" customHeight="1" x14ac:dyDescent="0.25">
      <c r="A248" s="134"/>
      <c r="B248" s="135"/>
      <c r="C248" s="135"/>
      <c r="D248" s="172"/>
      <c r="E248" s="172"/>
      <c r="F248" s="159"/>
      <c r="G248" s="159"/>
      <c r="H248" s="159"/>
      <c r="I248" s="158"/>
      <c r="J248" s="171"/>
    </row>
    <row r="249" spans="1:10" ht="15" customHeight="1" x14ac:dyDescent="0.25">
      <c r="A249" s="134"/>
      <c r="B249" s="135"/>
      <c r="C249" s="135"/>
      <c r="D249" s="172"/>
      <c r="E249" s="172"/>
      <c r="F249" s="159"/>
      <c r="G249" s="159"/>
      <c r="H249" s="159"/>
      <c r="I249" s="158"/>
      <c r="J249" s="171"/>
    </row>
    <row r="250" spans="1:10" ht="15" customHeight="1" x14ac:dyDescent="0.25">
      <c r="A250" s="134"/>
      <c r="B250" s="135"/>
      <c r="C250" s="135"/>
      <c r="D250" s="172"/>
      <c r="E250" s="172"/>
      <c r="F250" s="159"/>
      <c r="G250" s="159"/>
      <c r="H250" s="159"/>
      <c r="I250" s="158"/>
      <c r="J250" s="171"/>
    </row>
    <row r="251" spans="1:10" ht="15" customHeight="1" x14ac:dyDescent="0.25">
      <c r="A251" s="134"/>
      <c r="B251" s="135"/>
      <c r="C251" s="135"/>
      <c r="D251" s="172"/>
      <c r="E251" s="172"/>
      <c r="F251" s="159"/>
      <c r="G251" s="159"/>
      <c r="H251" s="159"/>
      <c r="I251" s="158"/>
      <c r="J251" s="171"/>
    </row>
    <row r="252" spans="1:10" ht="15" customHeight="1" x14ac:dyDescent="0.25">
      <c r="A252" s="134"/>
      <c r="B252" s="135"/>
      <c r="C252" s="135"/>
      <c r="D252" s="172"/>
      <c r="E252" s="172"/>
      <c r="F252" s="159"/>
      <c r="G252" s="159"/>
      <c r="H252" s="159"/>
      <c r="I252" s="158"/>
      <c r="J252" s="171"/>
    </row>
    <row r="253" spans="1:10" ht="15" customHeight="1" x14ac:dyDescent="0.25">
      <c r="A253" s="134"/>
      <c r="B253" s="135"/>
      <c r="C253" s="135"/>
      <c r="D253" s="172"/>
      <c r="E253" s="172"/>
      <c r="F253" s="159"/>
      <c r="G253" s="159"/>
      <c r="H253" s="159"/>
      <c r="I253" s="158"/>
      <c r="J253" s="171"/>
    </row>
    <row r="254" spans="1:10" ht="15" customHeight="1" x14ac:dyDescent="0.25">
      <c r="A254" s="134">
        <v>12</v>
      </c>
      <c r="B254" s="135" t="str">
        <f>V20</f>
        <v>LA CABLE / STRIP</v>
      </c>
      <c r="C254" s="135"/>
      <c r="D254" s="172" t="str">
        <f>Y20</f>
        <v xml:space="preserve">KANBERY / FLEXGUARD / GEONOM </v>
      </c>
      <c r="E254" s="172"/>
      <c r="F254" s="159" t="str">
        <f>Z20</f>
        <v>Supply and laying of Earth 1 Core x 16 sqmm Aluminium Flexible Cable, PVC insulated, suitable for earthing of solar structures and LT panels. Provides cost-effective grounding solution with adequate conductivity and flexibility for reliable fault current dissipation and system safety.</v>
      </c>
      <c r="G254" s="159"/>
      <c r="H254" s="159"/>
      <c r="I254" s="158" t="s">
        <v>257</v>
      </c>
      <c r="J254" s="171">
        <f>AC20</f>
        <v>100</v>
      </c>
    </row>
    <row r="255" spans="1:10" ht="15" customHeight="1" x14ac:dyDescent="0.25">
      <c r="A255" s="134"/>
      <c r="B255" s="135"/>
      <c r="C255" s="135"/>
      <c r="D255" s="172"/>
      <c r="E255" s="172"/>
      <c r="F255" s="159"/>
      <c r="G255" s="159"/>
      <c r="H255" s="159"/>
      <c r="I255" s="158"/>
      <c r="J255" s="171"/>
    </row>
    <row r="256" spans="1:10" ht="15" customHeight="1" x14ac:dyDescent="0.25">
      <c r="A256" s="134"/>
      <c r="B256" s="135"/>
      <c r="C256" s="135"/>
      <c r="D256" s="172"/>
      <c r="E256" s="172"/>
      <c r="F256" s="159"/>
      <c r="G256" s="159"/>
      <c r="H256" s="159"/>
      <c r="I256" s="158"/>
      <c r="J256" s="171"/>
    </row>
    <row r="257" spans="1:10" ht="15" customHeight="1" x14ac:dyDescent="0.25">
      <c r="A257" s="134"/>
      <c r="B257" s="135"/>
      <c r="C257" s="135"/>
      <c r="D257" s="172"/>
      <c r="E257" s="172"/>
      <c r="F257" s="159"/>
      <c r="G257" s="159"/>
      <c r="H257" s="159"/>
      <c r="I257" s="158"/>
      <c r="J257" s="171"/>
    </row>
    <row r="258" spans="1:10" ht="15" customHeight="1" x14ac:dyDescent="0.25">
      <c r="A258" s="134"/>
      <c r="B258" s="135"/>
      <c r="C258" s="135"/>
      <c r="D258" s="172"/>
      <c r="E258" s="172"/>
      <c r="F258" s="159"/>
      <c r="G258" s="159"/>
      <c r="H258" s="159"/>
      <c r="I258" s="158"/>
      <c r="J258" s="171"/>
    </row>
    <row r="259" spans="1:10" ht="15" customHeight="1" x14ac:dyDescent="0.25">
      <c r="A259" s="134"/>
      <c r="B259" s="135"/>
      <c r="C259" s="135"/>
      <c r="D259" s="172"/>
      <c r="E259" s="172"/>
      <c r="F259" s="159"/>
      <c r="G259" s="159"/>
      <c r="H259" s="159"/>
      <c r="I259" s="158"/>
      <c r="J259" s="171"/>
    </row>
    <row r="260" spans="1:10" ht="15" customHeight="1" x14ac:dyDescent="0.25">
      <c r="A260" s="134"/>
      <c r="B260" s="135"/>
      <c r="C260" s="135"/>
      <c r="D260" s="172"/>
      <c r="E260" s="172"/>
      <c r="F260" s="159"/>
      <c r="G260" s="159"/>
      <c r="H260" s="159"/>
      <c r="I260" s="158"/>
      <c r="J260" s="171"/>
    </row>
    <row r="261" spans="1:10" ht="15" customHeight="1" x14ac:dyDescent="0.25">
      <c r="A261" s="134">
        <v>13</v>
      </c>
      <c r="B261" s="135" t="str">
        <f>V21</f>
        <v>CABLE TRAY</v>
      </c>
      <c r="C261" s="135"/>
      <c r="D261" s="172" t="str">
        <f>Y21</f>
        <v>FRP</v>
      </c>
      <c r="E261" s="172"/>
      <c r="F261" s="159" t="str">
        <f>Z21</f>
        <v>Supply and installation of FRP Cable Tray, size 50mm (W) x 50mm (H) x 3mm (T) – FRP make, corrosion-resistant, UV-stabilized, and lightweight. Suitable for safe and durable routing of DC/AC cables in solar power installations under harsh outdoor conditions.</v>
      </c>
      <c r="G261" s="159"/>
      <c r="H261" s="159"/>
      <c r="I261" s="134" t="str">
        <f>AA21</f>
        <v>MTR</v>
      </c>
      <c r="J261" s="168">
        <f>AC21</f>
        <v>0</v>
      </c>
    </row>
    <row r="262" spans="1:10" ht="15" customHeight="1" x14ac:dyDescent="0.25">
      <c r="A262" s="134"/>
      <c r="B262" s="135"/>
      <c r="C262" s="135"/>
      <c r="D262" s="172"/>
      <c r="E262" s="172"/>
      <c r="F262" s="159"/>
      <c r="G262" s="159"/>
      <c r="H262" s="159"/>
      <c r="I262" s="134"/>
      <c r="J262" s="168"/>
    </row>
    <row r="263" spans="1:10" ht="15" customHeight="1" x14ac:dyDescent="0.25">
      <c r="A263" s="134"/>
      <c r="B263" s="135"/>
      <c r="C263" s="135"/>
      <c r="D263" s="172"/>
      <c r="E263" s="172"/>
      <c r="F263" s="159"/>
      <c r="G263" s="159"/>
      <c r="H263" s="159"/>
      <c r="I263" s="134"/>
      <c r="J263" s="168"/>
    </row>
    <row r="264" spans="1:10" ht="15" customHeight="1" x14ac:dyDescent="0.25">
      <c r="A264" s="134"/>
      <c r="B264" s="135"/>
      <c r="C264" s="135"/>
      <c r="D264" s="172"/>
      <c r="E264" s="172"/>
      <c r="F264" s="159"/>
      <c r="G264" s="159"/>
      <c r="H264" s="159"/>
      <c r="I264" s="134"/>
      <c r="J264" s="168"/>
    </row>
    <row r="265" spans="1:10" ht="15" customHeight="1" x14ac:dyDescent="0.25">
      <c r="A265" s="134"/>
      <c r="B265" s="135"/>
      <c r="C265" s="135"/>
      <c r="D265" s="172"/>
      <c r="E265" s="172"/>
      <c r="F265" s="159"/>
      <c r="G265" s="159"/>
      <c r="H265" s="159"/>
      <c r="I265" s="134"/>
      <c r="J265" s="168"/>
    </row>
    <row r="266" spans="1:10" ht="15" customHeight="1" x14ac:dyDescent="0.25">
      <c r="A266" s="134"/>
      <c r="B266" s="135"/>
      <c r="C266" s="135"/>
      <c r="D266" s="172"/>
      <c r="E266" s="172"/>
      <c r="F266" s="159"/>
      <c r="G266" s="159"/>
      <c r="H266" s="159"/>
      <c r="I266" s="134"/>
      <c r="J266" s="168"/>
    </row>
    <row r="267" spans="1:10" ht="15" customHeight="1" x14ac:dyDescent="0.25">
      <c r="A267" s="134">
        <v>14</v>
      </c>
      <c r="B267" s="135" t="str">
        <f>V23</f>
        <v>WALK WAY</v>
      </c>
      <c r="C267" s="135"/>
      <c r="D267" s="305" t="str">
        <f>Y23</f>
        <v>FRP</v>
      </c>
      <c r="E267" s="306"/>
      <c r="F267" s="159" t="str">
        <f>Z23</f>
        <v>Supply and installation of FRP Solar Walkway, size 272mm (W) x 3660mm (L) x 25mm (H), with mesh size 38mm x 38mm. Made from corrosion-resistant, UV-stabilized fiber-reinforced plastic, suitable for safe and durable access pathways between solar module rows on rooftops or ground-mounted structures.</v>
      </c>
      <c r="G267" s="159"/>
      <c r="H267" s="159"/>
      <c r="I267" s="134" t="str">
        <f>AA23</f>
        <v>MTR</v>
      </c>
      <c r="J267" s="171">
        <f>AC23</f>
        <v>27.119999999999997</v>
      </c>
    </row>
    <row r="268" spans="1:10" ht="15" customHeight="1" x14ac:dyDescent="0.25">
      <c r="A268" s="134"/>
      <c r="B268" s="135"/>
      <c r="C268" s="135"/>
      <c r="D268" s="307"/>
      <c r="E268" s="308"/>
      <c r="F268" s="159"/>
      <c r="G268" s="159"/>
      <c r="H268" s="159"/>
      <c r="I268" s="134"/>
      <c r="J268" s="171"/>
    </row>
    <row r="269" spans="1:10" ht="15" customHeight="1" x14ac:dyDescent="0.25">
      <c r="A269" s="134"/>
      <c r="B269" s="135"/>
      <c r="C269" s="135"/>
      <c r="D269" s="307"/>
      <c r="E269" s="308"/>
      <c r="F269" s="159"/>
      <c r="G269" s="159"/>
      <c r="H269" s="159"/>
      <c r="I269" s="134"/>
      <c r="J269" s="171"/>
    </row>
    <row r="270" spans="1:10" ht="15" customHeight="1" x14ac:dyDescent="0.25">
      <c r="A270" s="134"/>
      <c r="B270" s="135"/>
      <c r="C270" s="135"/>
      <c r="D270" s="307"/>
      <c r="E270" s="308"/>
      <c r="F270" s="159"/>
      <c r="G270" s="159"/>
      <c r="H270" s="159"/>
      <c r="I270" s="134"/>
      <c r="J270" s="171"/>
    </row>
    <row r="271" spans="1:10" ht="15" customHeight="1" x14ac:dyDescent="0.25">
      <c r="A271" s="134"/>
      <c r="B271" s="135"/>
      <c r="C271" s="135"/>
      <c r="D271" s="307"/>
      <c r="E271" s="308"/>
      <c r="F271" s="159"/>
      <c r="G271" s="159"/>
      <c r="H271" s="159"/>
      <c r="I271" s="134"/>
      <c r="J271" s="171"/>
    </row>
    <row r="272" spans="1:10" ht="15" customHeight="1" x14ac:dyDescent="0.25">
      <c r="A272" s="134"/>
      <c r="B272" s="135"/>
      <c r="C272" s="135"/>
      <c r="D272" s="307"/>
      <c r="E272" s="308"/>
      <c r="F272" s="159"/>
      <c r="G272" s="159"/>
      <c r="H272" s="159"/>
      <c r="I272" s="134"/>
      <c r="J272" s="171"/>
    </row>
    <row r="273" spans="1:10" ht="15" customHeight="1" x14ac:dyDescent="0.25">
      <c r="A273" s="134"/>
      <c r="B273" s="135"/>
      <c r="C273" s="135"/>
      <c r="D273" s="307"/>
      <c r="E273" s="308"/>
      <c r="F273" s="159"/>
      <c r="G273" s="159"/>
      <c r="H273" s="159"/>
      <c r="I273" s="134"/>
      <c r="J273" s="171"/>
    </row>
    <row r="274" spans="1:10" ht="15" customHeight="1" x14ac:dyDescent="0.25">
      <c r="A274" s="134"/>
      <c r="B274" s="135"/>
      <c r="C274" s="135"/>
      <c r="D274" s="309"/>
      <c r="E274" s="310"/>
      <c r="F274" s="159"/>
      <c r="G274" s="159"/>
      <c r="H274" s="159"/>
      <c r="I274" s="134"/>
      <c r="J274" s="171"/>
    </row>
    <row r="275" spans="1:10" ht="15" customHeight="1" x14ac:dyDescent="0.25">
      <c r="A275" s="134">
        <v>15</v>
      </c>
      <c r="B275" s="135" t="str">
        <f>V26</f>
        <v>FOUNDATION BLOCK</v>
      </c>
      <c r="C275" s="135"/>
      <c r="D275" s="169" t="str">
        <f>Y26</f>
        <v>HTSS SCOPE</v>
      </c>
      <c r="E275" s="169"/>
      <c r="F275" s="159" t="str">
        <f>Z26</f>
        <v>RCC Foundation Block – 400x400x400 mm, M25 grade concrete</v>
      </c>
      <c r="G275" s="159"/>
      <c r="H275" s="159"/>
      <c r="I275" s="134" t="str">
        <f>AA26</f>
        <v>NOS</v>
      </c>
      <c r="J275" s="171">
        <f>AC26</f>
        <v>8</v>
      </c>
    </row>
    <row r="276" spans="1:10" ht="15" customHeight="1" x14ac:dyDescent="0.25">
      <c r="A276" s="134"/>
      <c r="B276" s="135"/>
      <c r="C276" s="135"/>
      <c r="D276" s="169"/>
      <c r="E276" s="169"/>
      <c r="F276" s="159"/>
      <c r="G276" s="159"/>
      <c r="H276" s="159"/>
      <c r="I276" s="134"/>
      <c r="J276" s="171"/>
    </row>
    <row r="277" spans="1:10" ht="15" customHeight="1" x14ac:dyDescent="0.25">
      <c r="A277" s="134"/>
      <c r="B277" s="135"/>
      <c r="C277" s="135"/>
      <c r="D277" s="169"/>
      <c r="E277" s="169"/>
      <c r="F277" s="159"/>
      <c r="G277" s="159"/>
      <c r="H277" s="159"/>
      <c r="I277" s="134"/>
      <c r="J277" s="171"/>
    </row>
    <row r="278" spans="1:10" ht="15" customHeight="1" x14ac:dyDescent="0.25">
      <c r="A278" s="134">
        <v>16</v>
      </c>
      <c r="B278" s="135" t="s">
        <v>656</v>
      </c>
      <c r="C278" s="135"/>
      <c r="D278" s="180"/>
      <c r="E278" s="180"/>
      <c r="F278" s="159" t="s">
        <v>657</v>
      </c>
      <c r="G278" s="159"/>
      <c r="H278" s="159"/>
      <c r="I278" s="134" t="s">
        <v>10</v>
      </c>
      <c r="J278" s="135" t="s">
        <v>638</v>
      </c>
    </row>
    <row r="279" spans="1:10" ht="15" customHeight="1" x14ac:dyDescent="0.25">
      <c r="A279" s="134"/>
      <c r="B279" s="135"/>
      <c r="C279" s="135"/>
      <c r="D279" s="180"/>
      <c r="E279" s="180"/>
      <c r="F279" s="159"/>
      <c r="G279" s="159"/>
      <c r="H279" s="159"/>
      <c r="I279" s="134"/>
      <c r="J279" s="135"/>
    </row>
    <row r="280" spans="1:10" ht="15" customHeight="1" x14ac:dyDescent="0.25">
      <c r="A280" s="134"/>
      <c r="B280" s="135"/>
      <c r="C280" s="135"/>
      <c r="D280" s="180"/>
      <c r="E280" s="180"/>
      <c r="F280" s="159"/>
      <c r="G280" s="159"/>
      <c r="H280" s="159"/>
      <c r="I280" s="134"/>
      <c r="J280" s="135"/>
    </row>
    <row r="281" spans="1:10" ht="15" customHeight="1" x14ac:dyDescent="0.25">
      <c r="A281" s="134">
        <v>17</v>
      </c>
      <c r="B281" s="135" t="s">
        <v>672</v>
      </c>
      <c r="C281" s="135"/>
      <c r="D281" s="180"/>
      <c r="E281" s="180"/>
      <c r="F281" s="159" t="s">
        <v>12</v>
      </c>
      <c r="G281" s="159"/>
      <c r="H281" s="159"/>
      <c r="I281" s="134"/>
      <c r="J281" s="180"/>
    </row>
    <row r="282" spans="1:10" ht="15" customHeight="1" x14ac:dyDescent="0.25">
      <c r="A282" s="134"/>
      <c r="B282" s="135"/>
      <c r="C282" s="135"/>
      <c r="D282" s="180"/>
      <c r="E282" s="180"/>
      <c r="F282" s="159"/>
      <c r="G282" s="159"/>
      <c r="H282" s="159"/>
      <c r="I282" s="134"/>
      <c r="J282" s="180"/>
    </row>
    <row r="283" spans="1:10" ht="15" customHeight="1" x14ac:dyDescent="0.25">
      <c r="A283" s="134"/>
      <c r="B283" s="135"/>
      <c r="C283" s="135"/>
      <c r="D283" s="180"/>
      <c r="E283" s="180"/>
      <c r="F283" s="159"/>
      <c r="G283" s="159"/>
      <c r="H283" s="159"/>
      <c r="I283" s="134"/>
      <c r="J283" s="180"/>
    </row>
    <row r="284" spans="1:10" ht="19.5" customHeight="1" thickBot="1" x14ac:dyDescent="0.35">
      <c r="A284" s="142" t="s">
        <v>360</v>
      </c>
      <c r="B284" s="142"/>
      <c r="C284" s="142"/>
      <c r="D284" s="142"/>
      <c r="E284" s="142"/>
      <c r="F284" s="142"/>
      <c r="G284" s="142"/>
      <c r="H284" s="142"/>
      <c r="I284" s="142"/>
      <c r="J284" s="142"/>
    </row>
    <row r="285" spans="1:10" ht="9.9499999999999993" customHeight="1" thickTop="1" x14ac:dyDescent="0.25">
      <c r="A285" s="312"/>
      <c r="B285" s="312"/>
      <c r="C285" s="312"/>
      <c r="D285" s="312"/>
      <c r="E285" s="312"/>
      <c r="F285" s="312"/>
      <c r="G285" s="312"/>
      <c r="H285" s="312"/>
      <c r="I285" s="312"/>
      <c r="J285" s="312"/>
    </row>
    <row r="286" spans="1:10" ht="30" customHeight="1" x14ac:dyDescent="0.25">
      <c r="A286" s="68" t="s">
        <v>4</v>
      </c>
      <c r="B286" s="304" t="s">
        <v>259</v>
      </c>
      <c r="C286" s="304"/>
      <c r="D286" s="304"/>
      <c r="E286" s="304" t="s">
        <v>260</v>
      </c>
      <c r="F286" s="304"/>
      <c r="G286" s="304" t="s">
        <v>201</v>
      </c>
      <c r="H286" s="304"/>
      <c r="I286" s="304"/>
      <c r="J286" s="304"/>
    </row>
    <row r="287" spans="1:10" ht="9.9499999999999993" customHeight="1" x14ac:dyDescent="0.25">
      <c r="A287" s="180"/>
      <c r="B287" s="180"/>
      <c r="C287" s="180"/>
      <c r="D287" s="180"/>
      <c r="E287" s="180"/>
      <c r="F287" s="180"/>
      <c r="G287" s="180"/>
      <c r="H287" s="180"/>
      <c r="I287" s="180"/>
      <c r="J287" s="180"/>
    </row>
    <row r="288" spans="1:10" ht="30" customHeight="1" x14ac:dyDescent="0.25">
      <c r="A288" s="69">
        <v>1</v>
      </c>
      <c r="B288" s="304" t="s">
        <v>261</v>
      </c>
      <c r="C288" s="304"/>
      <c r="D288" s="304"/>
      <c r="E288" s="304"/>
      <c r="F288" s="304"/>
      <c r="G288" s="304"/>
      <c r="H288" s="304"/>
      <c r="I288" s="304"/>
      <c r="J288" s="304"/>
    </row>
    <row r="289" spans="1:10" ht="30" customHeight="1" x14ac:dyDescent="0.25">
      <c r="A289" s="70">
        <v>1.1000000000000001</v>
      </c>
      <c r="B289" s="159" t="s">
        <v>262</v>
      </c>
      <c r="C289" s="159" t="s">
        <v>262</v>
      </c>
      <c r="D289" s="159" t="s">
        <v>262</v>
      </c>
      <c r="E289" s="158" t="s">
        <v>359</v>
      </c>
      <c r="F289" s="158" t="s">
        <v>359</v>
      </c>
      <c r="G289" s="159" t="s">
        <v>264</v>
      </c>
      <c r="H289" s="159" t="s">
        <v>264</v>
      </c>
      <c r="I289" s="159" t="s">
        <v>264</v>
      </c>
      <c r="J289" s="159" t="s">
        <v>264</v>
      </c>
    </row>
    <row r="290" spans="1:10" ht="30" customHeight="1" x14ac:dyDescent="0.25">
      <c r="A290" s="70">
        <v>1.2</v>
      </c>
      <c r="B290" s="159" t="s">
        <v>265</v>
      </c>
      <c r="C290" s="159" t="s">
        <v>265</v>
      </c>
      <c r="D290" s="159" t="s">
        <v>265</v>
      </c>
      <c r="E290" s="158" t="s">
        <v>266</v>
      </c>
      <c r="F290" s="158" t="s">
        <v>266</v>
      </c>
      <c r="G290" s="159" t="s">
        <v>267</v>
      </c>
      <c r="H290" s="159" t="s">
        <v>267</v>
      </c>
      <c r="I290" s="159" t="s">
        <v>267</v>
      </c>
      <c r="J290" s="159" t="s">
        <v>267</v>
      </c>
    </row>
    <row r="291" spans="1:10" ht="30" customHeight="1" x14ac:dyDescent="0.25">
      <c r="A291" s="70">
        <v>1.3</v>
      </c>
      <c r="B291" s="159" t="s">
        <v>268</v>
      </c>
      <c r="C291" s="159" t="s">
        <v>268</v>
      </c>
      <c r="D291" s="159" t="s">
        <v>268</v>
      </c>
      <c r="E291" s="158" t="s">
        <v>266</v>
      </c>
      <c r="F291" s="158" t="s">
        <v>266</v>
      </c>
      <c r="G291" s="159" t="s">
        <v>269</v>
      </c>
      <c r="H291" s="159" t="s">
        <v>269</v>
      </c>
      <c r="I291" s="159" t="s">
        <v>269</v>
      </c>
      <c r="J291" s="159" t="s">
        <v>269</v>
      </c>
    </row>
    <row r="292" spans="1:10" ht="30" customHeight="1" x14ac:dyDescent="0.25">
      <c r="A292" s="70">
        <v>1.4</v>
      </c>
      <c r="B292" s="159" t="s">
        <v>270</v>
      </c>
      <c r="C292" s="159" t="s">
        <v>270</v>
      </c>
      <c r="D292" s="159" t="s">
        <v>270</v>
      </c>
      <c r="E292" s="158" t="s">
        <v>266</v>
      </c>
      <c r="F292" s="158" t="s">
        <v>266</v>
      </c>
      <c r="G292" s="159" t="s">
        <v>271</v>
      </c>
      <c r="H292" s="159" t="s">
        <v>271</v>
      </c>
      <c r="I292" s="159" t="s">
        <v>271</v>
      </c>
      <c r="J292" s="159" t="s">
        <v>271</v>
      </c>
    </row>
    <row r="293" spans="1:10" ht="30" customHeight="1" x14ac:dyDescent="0.25">
      <c r="A293" s="70">
        <v>1.5</v>
      </c>
      <c r="B293" s="159" t="s">
        <v>349</v>
      </c>
      <c r="C293" s="159" t="s">
        <v>349</v>
      </c>
      <c r="D293" s="159" t="s">
        <v>349</v>
      </c>
      <c r="E293" s="158" t="s">
        <v>263</v>
      </c>
      <c r="F293" s="158" t="s">
        <v>263</v>
      </c>
      <c r="G293" s="159" t="s">
        <v>350</v>
      </c>
      <c r="H293" s="159" t="s">
        <v>350</v>
      </c>
      <c r="I293" s="159" t="s">
        <v>350</v>
      </c>
      <c r="J293" s="159" t="s">
        <v>350</v>
      </c>
    </row>
    <row r="294" spans="1:10" ht="30" customHeight="1" x14ac:dyDescent="0.25">
      <c r="A294" s="70">
        <v>1.6</v>
      </c>
      <c r="B294" s="159" t="s">
        <v>351</v>
      </c>
      <c r="C294" s="159" t="s">
        <v>351</v>
      </c>
      <c r="D294" s="159" t="s">
        <v>351</v>
      </c>
      <c r="E294" s="158" t="s">
        <v>263</v>
      </c>
      <c r="F294" s="158" t="s">
        <v>263</v>
      </c>
      <c r="G294" s="159" t="s">
        <v>354</v>
      </c>
      <c r="H294" s="159" t="s">
        <v>354</v>
      </c>
      <c r="I294" s="159" t="s">
        <v>354</v>
      </c>
      <c r="J294" s="159" t="s">
        <v>354</v>
      </c>
    </row>
    <row r="295" spans="1:10" ht="30" customHeight="1" x14ac:dyDescent="0.25">
      <c r="A295" s="70">
        <v>1.7</v>
      </c>
      <c r="B295" s="159" t="s">
        <v>352</v>
      </c>
      <c r="C295" s="159" t="s">
        <v>352</v>
      </c>
      <c r="D295" s="159" t="s">
        <v>352</v>
      </c>
      <c r="E295" s="158" t="s">
        <v>263</v>
      </c>
      <c r="F295" s="158" t="s">
        <v>263</v>
      </c>
      <c r="G295" s="159" t="s">
        <v>355</v>
      </c>
      <c r="H295" s="159" t="s">
        <v>355</v>
      </c>
      <c r="I295" s="159" t="s">
        <v>355</v>
      </c>
      <c r="J295" s="159" t="s">
        <v>355</v>
      </c>
    </row>
    <row r="296" spans="1:10" ht="30" customHeight="1" x14ac:dyDescent="0.25">
      <c r="A296" s="70">
        <v>1.8</v>
      </c>
      <c r="B296" s="159" t="s">
        <v>353</v>
      </c>
      <c r="C296" s="159" t="s">
        <v>353</v>
      </c>
      <c r="D296" s="159" t="s">
        <v>353</v>
      </c>
      <c r="E296" s="158" t="s">
        <v>263</v>
      </c>
      <c r="F296" s="158" t="s">
        <v>263</v>
      </c>
      <c r="G296" s="159" t="s">
        <v>356</v>
      </c>
      <c r="H296" s="159" t="s">
        <v>356</v>
      </c>
      <c r="I296" s="159" t="s">
        <v>356</v>
      </c>
      <c r="J296" s="159" t="s">
        <v>356</v>
      </c>
    </row>
    <row r="297" spans="1:10" ht="30" customHeight="1" x14ac:dyDescent="0.25">
      <c r="A297" s="70">
        <v>1.9</v>
      </c>
      <c r="B297" s="159" t="s">
        <v>357</v>
      </c>
      <c r="C297" s="159" t="s">
        <v>357</v>
      </c>
      <c r="D297" s="159" t="s">
        <v>357</v>
      </c>
      <c r="E297" s="158" t="s">
        <v>263</v>
      </c>
      <c r="F297" s="158" t="s">
        <v>263</v>
      </c>
      <c r="G297" s="159" t="s">
        <v>363</v>
      </c>
      <c r="H297" s="159" t="s">
        <v>358</v>
      </c>
      <c r="I297" s="159" t="s">
        <v>358</v>
      </c>
      <c r="J297" s="159" t="s">
        <v>358</v>
      </c>
    </row>
    <row r="298" spans="1:10" ht="9.9499999999999993" customHeight="1" x14ac:dyDescent="0.25">
      <c r="A298" s="311"/>
      <c r="B298" s="311"/>
      <c r="C298" s="311"/>
      <c r="D298" s="311"/>
      <c r="E298" s="311"/>
      <c r="F298" s="311"/>
      <c r="G298" s="311"/>
      <c r="H298" s="311"/>
      <c r="I298" s="311"/>
      <c r="J298" s="311"/>
    </row>
    <row r="299" spans="1:10" ht="30" customHeight="1" x14ac:dyDescent="0.25">
      <c r="A299" s="69">
        <v>2</v>
      </c>
      <c r="B299" s="304" t="s">
        <v>272</v>
      </c>
      <c r="C299" s="304"/>
      <c r="D299" s="304"/>
      <c r="E299" s="304"/>
      <c r="F299" s="304"/>
      <c r="G299" s="304"/>
      <c r="H299" s="304"/>
      <c r="I299" s="304"/>
      <c r="J299" s="304"/>
    </row>
    <row r="300" spans="1:10" ht="30" customHeight="1" x14ac:dyDescent="0.25">
      <c r="A300" s="70">
        <v>2.1</v>
      </c>
      <c r="B300" s="159" t="s">
        <v>273</v>
      </c>
      <c r="C300" s="159" t="s">
        <v>273</v>
      </c>
      <c r="D300" s="159" t="s">
        <v>273</v>
      </c>
      <c r="E300" s="158" t="s">
        <v>266</v>
      </c>
      <c r="F300" s="158" t="s">
        <v>266</v>
      </c>
      <c r="G300" s="159" t="s">
        <v>274</v>
      </c>
      <c r="H300" s="159" t="s">
        <v>274</v>
      </c>
      <c r="I300" s="159" t="s">
        <v>274</v>
      </c>
      <c r="J300" s="159" t="s">
        <v>274</v>
      </c>
    </row>
    <row r="301" spans="1:10" ht="30" customHeight="1" x14ac:dyDescent="0.25">
      <c r="A301" s="70">
        <v>2.2000000000000002</v>
      </c>
      <c r="B301" s="159" t="s">
        <v>275</v>
      </c>
      <c r="C301" s="159" t="s">
        <v>275</v>
      </c>
      <c r="D301" s="159" t="s">
        <v>275</v>
      </c>
      <c r="E301" s="158" t="s">
        <v>266</v>
      </c>
      <c r="F301" s="158" t="s">
        <v>266</v>
      </c>
      <c r="G301" s="159" t="s">
        <v>276</v>
      </c>
      <c r="H301" s="159" t="s">
        <v>276</v>
      </c>
      <c r="I301" s="159" t="s">
        <v>276</v>
      </c>
      <c r="J301" s="159" t="s">
        <v>276</v>
      </c>
    </row>
    <row r="302" spans="1:10" ht="30" customHeight="1" x14ac:dyDescent="0.25">
      <c r="A302" s="70">
        <v>2.2999999999999998</v>
      </c>
      <c r="B302" s="159" t="s">
        <v>277</v>
      </c>
      <c r="C302" s="159" t="s">
        <v>277</v>
      </c>
      <c r="D302" s="159" t="s">
        <v>277</v>
      </c>
      <c r="E302" s="158" t="s">
        <v>266</v>
      </c>
      <c r="F302" s="158" t="s">
        <v>266</v>
      </c>
      <c r="G302" s="159" t="s">
        <v>278</v>
      </c>
      <c r="H302" s="159" t="s">
        <v>278</v>
      </c>
      <c r="I302" s="159" t="s">
        <v>278</v>
      </c>
      <c r="J302" s="159" t="s">
        <v>278</v>
      </c>
    </row>
    <row r="303" spans="1:10" ht="30" customHeight="1" x14ac:dyDescent="0.25">
      <c r="A303" s="70">
        <v>2.4</v>
      </c>
      <c r="B303" s="159" t="s">
        <v>279</v>
      </c>
      <c r="C303" s="159" t="s">
        <v>279</v>
      </c>
      <c r="D303" s="159" t="s">
        <v>279</v>
      </c>
      <c r="E303" s="158" t="s">
        <v>266</v>
      </c>
      <c r="F303" s="158" t="s">
        <v>266</v>
      </c>
      <c r="G303" s="159" t="s">
        <v>280</v>
      </c>
      <c r="H303" s="159" t="s">
        <v>280</v>
      </c>
      <c r="I303" s="159" t="s">
        <v>280</v>
      </c>
      <c r="J303" s="159" t="s">
        <v>280</v>
      </c>
    </row>
    <row r="304" spans="1:10" ht="30" customHeight="1" x14ac:dyDescent="0.25">
      <c r="A304" s="70">
        <v>2.5</v>
      </c>
      <c r="B304" s="159" t="s">
        <v>281</v>
      </c>
      <c r="C304" s="159" t="s">
        <v>281</v>
      </c>
      <c r="D304" s="159" t="s">
        <v>281</v>
      </c>
      <c r="E304" s="158" t="s">
        <v>266</v>
      </c>
      <c r="F304" s="158" t="s">
        <v>266</v>
      </c>
      <c r="G304" s="159" t="s">
        <v>282</v>
      </c>
      <c r="H304" s="159" t="s">
        <v>282</v>
      </c>
      <c r="I304" s="159" t="s">
        <v>282</v>
      </c>
      <c r="J304" s="159" t="s">
        <v>282</v>
      </c>
    </row>
    <row r="305" spans="1:10" ht="9.9499999999999993" customHeight="1" x14ac:dyDescent="0.25">
      <c r="A305" s="311"/>
      <c r="B305" s="311"/>
      <c r="C305" s="311"/>
      <c r="D305" s="311"/>
      <c r="E305" s="311"/>
      <c r="F305" s="311"/>
      <c r="G305" s="311"/>
      <c r="H305" s="311"/>
      <c r="I305" s="311"/>
      <c r="J305" s="311"/>
    </row>
    <row r="306" spans="1:10" ht="30" customHeight="1" x14ac:dyDescent="0.25">
      <c r="A306" s="68">
        <v>3</v>
      </c>
      <c r="B306" s="304" t="s">
        <v>283</v>
      </c>
      <c r="C306" s="304"/>
      <c r="D306" s="304"/>
      <c r="E306" s="304"/>
      <c r="F306" s="304"/>
      <c r="G306" s="304"/>
      <c r="H306" s="304"/>
      <c r="I306" s="304"/>
      <c r="J306" s="304"/>
    </row>
    <row r="307" spans="1:10" ht="30" customHeight="1" x14ac:dyDescent="0.25">
      <c r="A307" s="71">
        <v>3.1</v>
      </c>
      <c r="B307" s="159" t="s">
        <v>284</v>
      </c>
      <c r="C307" s="159" t="s">
        <v>284</v>
      </c>
      <c r="D307" s="159" t="s">
        <v>284</v>
      </c>
      <c r="E307" s="158" t="s">
        <v>266</v>
      </c>
      <c r="F307" s="158" t="s">
        <v>266</v>
      </c>
      <c r="G307" s="159" t="s">
        <v>285</v>
      </c>
      <c r="H307" s="159" t="s">
        <v>285</v>
      </c>
      <c r="I307" s="159" t="s">
        <v>285</v>
      </c>
      <c r="J307" s="159" t="s">
        <v>285</v>
      </c>
    </row>
    <row r="308" spans="1:10" ht="30" customHeight="1" x14ac:dyDescent="0.25">
      <c r="A308" s="71">
        <v>3.2</v>
      </c>
      <c r="B308" s="159" t="s">
        <v>286</v>
      </c>
      <c r="C308" s="159" t="s">
        <v>286</v>
      </c>
      <c r="D308" s="159" t="s">
        <v>286</v>
      </c>
      <c r="E308" s="158" t="s">
        <v>266</v>
      </c>
      <c r="F308" s="158" t="s">
        <v>266</v>
      </c>
      <c r="G308" s="159" t="s">
        <v>287</v>
      </c>
      <c r="H308" s="159" t="s">
        <v>287</v>
      </c>
      <c r="I308" s="159" t="s">
        <v>287</v>
      </c>
      <c r="J308" s="159" t="s">
        <v>287</v>
      </c>
    </row>
    <row r="309" spans="1:10" ht="30" customHeight="1" x14ac:dyDescent="0.25">
      <c r="A309" s="71">
        <v>3.3</v>
      </c>
      <c r="B309" s="159" t="s">
        <v>288</v>
      </c>
      <c r="C309" s="159" t="s">
        <v>288</v>
      </c>
      <c r="D309" s="159" t="s">
        <v>288</v>
      </c>
      <c r="E309" s="158" t="s">
        <v>266</v>
      </c>
      <c r="F309" s="158" t="s">
        <v>266</v>
      </c>
      <c r="G309" s="159" t="s">
        <v>289</v>
      </c>
      <c r="H309" s="159" t="s">
        <v>289</v>
      </c>
      <c r="I309" s="159" t="s">
        <v>289</v>
      </c>
      <c r="J309" s="159" t="s">
        <v>289</v>
      </c>
    </row>
    <row r="310" spans="1:10" ht="30" customHeight="1" x14ac:dyDescent="0.25">
      <c r="A310" s="71">
        <v>3.4</v>
      </c>
      <c r="B310" s="159" t="s">
        <v>290</v>
      </c>
      <c r="C310" s="159" t="s">
        <v>290</v>
      </c>
      <c r="D310" s="159" t="s">
        <v>290</v>
      </c>
      <c r="E310" s="158" t="s">
        <v>266</v>
      </c>
      <c r="F310" s="158" t="s">
        <v>266</v>
      </c>
      <c r="G310" s="159" t="s">
        <v>291</v>
      </c>
      <c r="H310" s="159" t="s">
        <v>291</v>
      </c>
      <c r="I310" s="159" t="s">
        <v>291</v>
      </c>
      <c r="J310" s="159" t="s">
        <v>291</v>
      </c>
    </row>
    <row r="311" spans="1:10" ht="30" customHeight="1" x14ac:dyDescent="0.25">
      <c r="A311" s="71">
        <v>3.5</v>
      </c>
      <c r="B311" s="159" t="s">
        <v>292</v>
      </c>
      <c r="C311" s="159" t="s">
        <v>292</v>
      </c>
      <c r="D311" s="159" t="s">
        <v>292</v>
      </c>
      <c r="E311" s="158" t="s">
        <v>266</v>
      </c>
      <c r="F311" s="158" t="s">
        <v>266</v>
      </c>
      <c r="G311" s="159" t="s">
        <v>293</v>
      </c>
      <c r="H311" s="159" t="s">
        <v>293</v>
      </c>
      <c r="I311" s="159" t="s">
        <v>293</v>
      </c>
      <c r="J311" s="159" t="s">
        <v>293</v>
      </c>
    </row>
    <row r="312" spans="1:10" ht="30" customHeight="1" x14ac:dyDescent="0.25">
      <c r="A312" s="71">
        <v>3.6</v>
      </c>
      <c r="B312" s="159" t="s">
        <v>333</v>
      </c>
      <c r="C312" s="159" t="s">
        <v>333</v>
      </c>
      <c r="D312" s="159" t="s">
        <v>333</v>
      </c>
      <c r="E312" s="158" t="s">
        <v>266</v>
      </c>
      <c r="F312" s="158" t="s">
        <v>266</v>
      </c>
      <c r="G312" s="159" t="s">
        <v>364</v>
      </c>
      <c r="H312" s="159" t="s">
        <v>332</v>
      </c>
      <c r="I312" s="159" t="s">
        <v>332</v>
      </c>
      <c r="J312" s="159" t="s">
        <v>332</v>
      </c>
    </row>
    <row r="313" spans="1:10" ht="30" customHeight="1" x14ac:dyDescent="0.25">
      <c r="A313" s="71">
        <v>3.7</v>
      </c>
      <c r="B313" s="159" t="s">
        <v>334</v>
      </c>
      <c r="C313" s="159" t="s">
        <v>334</v>
      </c>
      <c r="D313" s="159" t="s">
        <v>334</v>
      </c>
      <c r="E313" s="158" t="s">
        <v>84</v>
      </c>
      <c r="F313" s="158"/>
      <c r="G313" s="159" t="s">
        <v>335</v>
      </c>
      <c r="H313" s="159" t="s">
        <v>335</v>
      </c>
      <c r="I313" s="159" t="s">
        <v>335</v>
      </c>
      <c r="J313" s="159" t="s">
        <v>335</v>
      </c>
    </row>
    <row r="314" spans="1:10" ht="30" customHeight="1" x14ac:dyDescent="0.25">
      <c r="A314" s="71">
        <v>3.8</v>
      </c>
      <c r="B314" s="159" t="s">
        <v>336</v>
      </c>
      <c r="C314" s="159" t="s">
        <v>336</v>
      </c>
      <c r="D314" s="159" t="s">
        <v>336</v>
      </c>
      <c r="E314" s="158" t="s">
        <v>266</v>
      </c>
      <c r="F314" s="158" t="s">
        <v>266</v>
      </c>
      <c r="G314" s="159" t="s">
        <v>337</v>
      </c>
      <c r="H314" s="159" t="s">
        <v>337</v>
      </c>
      <c r="I314" s="159" t="s">
        <v>337</v>
      </c>
      <c r="J314" s="159" t="s">
        <v>337</v>
      </c>
    </row>
    <row r="315" spans="1:10" ht="30" customHeight="1" x14ac:dyDescent="0.25">
      <c r="A315" s="71">
        <v>3.9</v>
      </c>
      <c r="B315" s="159" t="s">
        <v>338</v>
      </c>
      <c r="C315" s="159" t="s">
        <v>338</v>
      </c>
      <c r="D315" s="159" t="s">
        <v>338</v>
      </c>
      <c r="E315" s="158" t="s">
        <v>335</v>
      </c>
      <c r="F315" s="158" t="s">
        <v>335</v>
      </c>
      <c r="G315" s="159" t="s">
        <v>365</v>
      </c>
      <c r="H315" s="159" t="s">
        <v>340</v>
      </c>
      <c r="I315" s="159" t="s">
        <v>340</v>
      </c>
      <c r="J315" s="159" t="s">
        <v>340</v>
      </c>
    </row>
    <row r="316" spans="1:10" ht="30" customHeight="1" x14ac:dyDescent="0.25">
      <c r="A316" s="72">
        <v>3.1</v>
      </c>
      <c r="B316" s="159" t="s">
        <v>339</v>
      </c>
      <c r="C316" s="159" t="s">
        <v>339</v>
      </c>
      <c r="D316" s="159" t="s">
        <v>339</v>
      </c>
      <c r="E316" s="158" t="s">
        <v>335</v>
      </c>
      <c r="F316" s="158" t="s">
        <v>335</v>
      </c>
      <c r="G316" s="159" t="s">
        <v>365</v>
      </c>
      <c r="H316" s="159" t="s">
        <v>340</v>
      </c>
      <c r="I316" s="159" t="s">
        <v>340</v>
      </c>
      <c r="J316" s="159" t="s">
        <v>340</v>
      </c>
    </row>
    <row r="317" spans="1:10" ht="30" customHeight="1" x14ac:dyDescent="0.25">
      <c r="A317" s="71">
        <v>3.11</v>
      </c>
      <c r="B317" s="159" t="s">
        <v>341</v>
      </c>
      <c r="C317" s="159" t="s">
        <v>341</v>
      </c>
      <c r="D317" s="159" t="s">
        <v>341</v>
      </c>
      <c r="E317" s="158" t="s">
        <v>342</v>
      </c>
      <c r="F317" s="158" t="s">
        <v>342</v>
      </c>
      <c r="G317" s="159" t="s">
        <v>350</v>
      </c>
      <c r="H317" s="159"/>
      <c r="I317" s="159"/>
      <c r="J317" s="159"/>
    </row>
    <row r="318" spans="1:10" ht="30" customHeight="1" x14ac:dyDescent="0.25">
      <c r="A318" s="71">
        <v>3.12</v>
      </c>
      <c r="B318" s="159" t="s">
        <v>343</v>
      </c>
      <c r="C318" s="159" t="s">
        <v>343</v>
      </c>
      <c r="D318" s="159" t="s">
        <v>343</v>
      </c>
      <c r="E318" s="158" t="s">
        <v>342</v>
      </c>
      <c r="F318" s="158" t="s">
        <v>342</v>
      </c>
      <c r="G318" s="159" t="s">
        <v>344</v>
      </c>
      <c r="H318" s="159" t="s">
        <v>344</v>
      </c>
      <c r="I318" s="159" t="s">
        <v>344</v>
      </c>
      <c r="J318" s="159" t="s">
        <v>344</v>
      </c>
    </row>
    <row r="319" spans="1:10" ht="30" customHeight="1" x14ac:dyDescent="0.25">
      <c r="A319" s="71">
        <v>3.13</v>
      </c>
      <c r="B319" s="159" t="s">
        <v>345</v>
      </c>
      <c r="C319" s="159" t="s">
        <v>345</v>
      </c>
      <c r="D319" s="159" t="s">
        <v>345</v>
      </c>
      <c r="E319" s="158" t="s">
        <v>342</v>
      </c>
      <c r="F319" s="158" t="s">
        <v>342</v>
      </c>
      <c r="G319" s="159" t="s">
        <v>346</v>
      </c>
      <c r="H319" s="159" t="s">
        <v>346</v>
      </c>
      <c r="I319" s="159" t="s">
        <v>346</v>
      </c>
      <c r="J319" s="159" t="s">
        <v>346</v>
      </c>
    </row>
    <row r="320" spans="1:10" ht="30" customHeight="1" x14ac:dyDescent="0.25">
      <c r="A320" s="71">
        <v>3.14</v>
      </c>
      <c r="B320" s="159" t="s">
        <v>347</v>
      </c>
      <c r="C320" s="159" t="s">
        <v>347</v>
      </c>
      <c r="D320" s="159" t="s">
        <v>347</v>
      </c>
      <c r="E320" s="158" t="s">
        <v>342</v>
      </c>
      <c r="F320" s="158" t="s">
        <v>342</v>
      </c>
      <c r="G320" s="159" t="s">
        <v>366</v>
      </c>
      <c r="H320" s="159" t="s">
        <v>348</v>
      </c>
      <c r="I320" s="159" t="s">
        <v>348</v>
      </c>
      <c r="J320" s="159" t="s">
        <v>348</v>
      </c>
    </row>
    <row r="321" spans="1:10" ht="30" customHeight="1" x14ac:dyDescent="0.25">
      <c r="A321" s="71">
        <v>3.6</v>
      </c>
      <c r="B321" s="159" t="s">
        <v>294</v>
      </c>
      <c r="C321" s="159" t="s">
        <v>294</v>
      </c>
      <c r="D321" s="159" t="s">
        <v>294</v>
      </c>
      <c r="E321" s="158" t="s">
        <v>266</v>
      </c>
      <c r="F321" s="158" t="s">
        <v>266</v>
      </c>
      <c r="G321" s="159" t="s">
        <v>295</v>
      </c>
      <c r="H321" s="159" t="s">
        <v>295</v>
      </c>
      <c r="I321" s="159" t="s">
        <v>295</v>
      </c>
      <c r="J321" s="159" t="s">
        <v>295</v>
      </c>
    </row>
    <row r="322" spans="1:10" ht="9.9499999999999993" customHeight="1" x14ac:dyDescent="0.25">
      <c r="A322" s="134"/>
      <c r="B322" s="134"/>
      <c r="C322" s="134"/>
      <c r="D322" s="134"/>
      <c r="E322" s="134"/>
      <c r="F322" s="134"/>
      <c r="G322" s="134"/>
      <c r="H322" s="134"/>
      <c r="I322" s="134"/>
      <c r="J322" s="134"/>
    </row>
    <row r="323" spans="1:10" ht="30" customHeight="1" x14ac:dyDescent="0.25">
      <c r="A323" s="68">
        <v>4</v>
      </c>
      <c r="B323" s="304" t="s">
        <v>296</v>
      </c>
      <c r="C323" s="304"/>
      <c r="D323" s="304"/>
      <c r="E323" s="304"/>
      <c r="F323" s="304"/>
      <c r="G323" s="304"/>
      <c r="H323" s="304"/>
      <c r="I323" s="304"/>
      <c r="J323" s="304"/>
    </row>
    <row r="324" spans="1:10" ht="30" customHeight="1" x14ac:dyDescent="0.25">
      <c r="A324" s="71">
        <v>4.0999999999999996</v>
      </c>
      <c r="B324" s="159" t="s">
        <v>297</v>
      </c>
      <c r="C324" s="159" t="s">
        <v>297</v>
      </c>
      <c r="D324" s="159" t="s">
        <v>297</v>
      </c>
      <c r="E324" s="158" t="s">
        <v>298</v>
      </c>
      <c r="F324" s="158" t="s">
        <v>298</v>
      </c>
      <c r="G324" s="159" t="s">
        <v>299</v>
      </c>
      <c r="H324" s="159" t="s">
        <v>299</v>
      </c>
      <c r="I324" s="159" t="s">
        <v>299</v>
      </c>
      <c r="J324" s="159" t="s">
        <v>299</v>
      </c>
    </row>
    <row r="325" spans="1:10" ht="30" customHeight="1" x14ac:dyDescent="0.25">
      <c r="A325" s="71">
        <v>4.2</v>
      </c>
      <c r="B325" s="159" t="s">
        <v>300</v>
      </c>
      <c r="C325" s="159" t="s">
        <v>300</v>
      </c>
      <c r="D325" s="159" t="s">
        <v>300</v>
      </c>
      <c r="E325" s="158" t="s">
        <v>301</v>
      </c>
      <c r="F325" s="158" t="s">
        <v>301</v>
      </c>
      <c r="G325" s="159" t="s">
        <v>302</v>
      </c>
      <c r="H325" s="159" t="s">
        <v>302</v>
      </c>
      <c r="I325" s="159" t="s">
        <v>302</v>
      </c>
      <c r="J325" s="159" t="s">
        <v>302</v>
      </c>
    </row>
    <row r="326" spans="1:10" ht="30" customHeight="1" x14ac:dyDescent="0.25">
      <c r="A326" s="71">
        <v>4.3</v>
      </c>
      <c r="B326" s="159" t="s">
        <v>376</v>
      </c>
      <c r="C326" s="159" t="s">
        <v>300</v>
      </c>
      <c r="D326" s="159" t="s">
        <v>300</v>
      </c>
      <c r="E326" s="158" t="s">
        <v>377</v>
      </c>
      <c r="F326" s="158" t="s">
        <v>301</v>
      </c>
      <c r="G326" s="159" t="s">
        <v>378</v>
      </c>
      <c r="H326" s="159" t="s">
        <v>302</v>
      </c>
      <c r="I326" s="159" t="s">
        <v>302</v>
      </c>
      <c r="J326" s="159" t="s">
        <v>302</v>
      </c>
    </row>
    <row r="327" spans="1:10" ht="30" customHeight="1" x14ac:dyDescent="0.25">
      <c r="A327" s="71">
        <v>4.4000000000000004</v>
      </c>
      <c r="B327" s="159" t="s">
        <v>303</v>
      </c>
      <c r="C327" s="159" t="s">
        <v>303</v>
      </c>
      <c r="D327" s="159" t="s">
        <v>303</v>
      </c>
      <c r="E327" s="158" t="s">
        <v>304</v>
      </c>
      <c r="F327" s="158" t="s">
        <v>304</v>
      </c>
      <c r="G327" s="159" t="s">
        <v>305</v>
      </c>
      <c r="H327" s="159" t="s">
        <v>305</v>
      </c>
      <c r="I327" s="159" t="s">
        <v>305</v>
      </c>
      <c r="J327" s="159" t="s">
        <v>305</v>
      </c>
    </row>
    <row r="328" spans="1:10" ht="30" customHeight="1" x14ac:dyDescent="0.25">
      <c r="A328" s="71">
        <v>4.5</v>
      </c>
      <c r="B328" s="159" t="s">
        <v>306</v>
      </c>
      <c r="C328" s="159" t="s">
        <v>306</v>
      </c>
      <c r="D328" s="159" t="s">
        <v>306</v>
      </c>
      <c r="E328" s="158" t="s">
        <v>301</v>
      </c>
      <c r="F328" s="158" t="s">
        <v>301</v>
      </c>
      <c r="G328" s="159" t="s">
        <v>307</v>
      </c>
      <c r="H328" s="159" t="s">
        <v>307</v>
      </c>
      <c r="I328" s="159" t="s">
        <v>307</v>
      </c>
      <c r="J328" s="159" t="s">
        <v>307</v>
      </c>
    </row>
    <row r="329" spans="1:10" ht="9.9499999999999993" customHeight="1" x14ac:dyDescent="0.25">
      <c r="A329" s="134"/>
      <c r="B329" s="134"/>
      <c r="C329" s="134"/>
      <c r="D329" s="134"/>
      <c r="E329" s="134"/>
      <c r="F329" s="134"/>
      <c r="G329" s="134"/>
      <c r="H329" s="134"/>
      <c r="I329" s="134"/>
      <c r="J329" s="134"/>
    </row>
    <row r="330" spans="1:10" ht="30" customHeight="1" x14ac:dyDescent="0.25">
      <c r="A330" s="68">
        <v>5</v>
      </c>
      <c r="B330" s="304" t="s">
        <v>308</v>
      </c>
      <c r="C330" s="304"/>
      <c r="D330" s="304"/>
      <c r="E330" s="304"/>
      <c r="F330" s="304"/>
      <c r="G330" s="304"/>
      <c r="H330" s="304"/>
      <c r="I330" s="304"/>
      <c r="J330" s="304"/>
    </row>
    <row r="331" spans="1:10" ht="30" customHeight="1" x14ac:dyDescent="0.25">
      <c r="A331" s="71">
        <v>5.0999999999999996</v>
      </c>
      <c r="B331" s="159" t="s">
        <v>309</v>
      </c>
      <c r="C331" s="159" t="s">
        <v>309</v>
      </c>
      <c r="D331" s="159" t="s">
        <v>309</v>
      </c>
      <c r="E331" s="158" t="s">
        <v>266</v>
      </c>
      <c r="F331" s="158" t="s">
        <v>266</v>
      </c>
      <c r="G331" s="159" t="s">
        <v>310</v>
      </c>
      <c r="H331" s="159" t="s">
        <v>310</v>
      </c>
      <c r="I331" s="159" t="s">
        <v>310</v>
      </c>
      <c r="J331" s="159" t="s">
        <v>310</v>
      </c>
    </row>
    <row r="332" spans="1:10" ht="30" customHeight="1" x14ac:dyDescent="0.25">
      <c r="A332" s="71">
        <v>5.2</v>
      </c>
      <c r="B332" s="159" t="s">
        <v>311</v>
      </c>
      <c r="C332" s="159" t="s">
        <v>311</v>
      </c>
      <c r="D332" s="159" t="s">
        <v>311</v>
      </c>
      <c r="E332" s="158" t="s">
        <v>266</v>
      </c>
      <c r="F332" s="158" t="s">
        <v>266</v>
      </c>
      <c r="G332" s="159" t="s">
        <v>312</v>
      </c>
      <c r="H332" s="159" t="s">
        <v>312</v>
      </c>
      <c r="I332" s="159" t="s">
        <v>312</v>
      </c>
      <c r="J332" s="159" t="s">
        <v>312</v>
      </c>
    </row>
    <row r="333" spans="1:10" ht="30" customHeight="1" x14ac:dyDescent="0.25">
      <c r="A333" s="71">
        <v>5.3</v>
      </c>
      <c r="B333" s="159" t="s">
        <v>313</v>
      </c>
      <c r="C333" s="159" t="s">
        <v>313</v>
      </c>
      <c r="D333" s="159" t="s">
        <v>313</v>
      </c>
      <c r="E333" s="158" t="s">
        <v>266</v>
      </c>
      <c r="F333" s="158" t="s">
        <v>266</v>
      </c>
      <c r="G333" s="159" t="s">
        <v>314</v>
      </c>
      <c r="H333" s="159" t="s">
        <v>314</v>
      </c>
      <c r="I333" s="159" t="s">
        <v>314</v>
      </c>
      <c r="J333" s="159" t="s">
        <v>314</v>
      </c>
    </row>
    <row r="334" spans="1:10" ht="9.9499999999999993" customHeight="1" x14ac:dyDescent="0.25">
      <c r="A334" s="134"/>
      <c r="B334" s="134"/>
      <c r="C334" s="134"/>
      <c r="D334" s="134"/>
      <c r="E334" s="134"/>
      <c r="F334" s="134"/>
      <c r="G334" s="134"/>
      <c r="H334" s="134"/>
      <c r="I334" s="134"/>
      <c r="J334" s="134"/>
    </row>
    <row r="335" spans="1:10" ht="30" customHeight="1" x14ac:dyDescent="0.25">
      <c r="A335" s="68">
        <v>6</v>
      </c>
      <c r="B335" s="304" t="s">
        <v>315</v>
      </c>
      <c r="C335" s="304"/>
      <c r="D335" s="304"/>
      <c r="E335" s="304"/>
      <c r="F335" s="304"/>
      <c r="G335" s="304"/>
      <c r="H335" s="304"/>
      <c r="I335" s="304"/>
      <c r="J335" s="304"/>
    </row>
    <row r="336" spans="1:10" ht="30" customHeight="1" x14ac:dyDescent="0.25">
      <c r="A336" s="71">
        <v>6.1</v>
      </c>
      <c r="B336" s="159" t="s">
        <v>316</v>
      </c>
      <c r="C336" s="159" t="s">
        <v>316</v>
      </c>
      <c r="D336" s="159" t="s">
        <v>316</v>
      </c>
      <c r="E336" s="158" t="s">
        <v>266</v>
      </c>
      <c r="F336" s="158" t="s">
        <v>266</v>
      </c>
      <c r="G336" s="159" t="s">
        <v>317</v>
      </c>
      <c r="H336" s="159" t="s">
        <v>317</v>
      </c>
      <c r="I336" s="159" t="s">
        <v>317</v>
      </c>
      <c r="J336" s="159" t="s">
        <v>317</v>
      </c>
    </row>
    <row r="337" spans="1:10" ht="30" customHeight="1" x14ac:dyDescent="0.25">
      <c r="A337" s="71">
        <v>6.2</v>
      </c>
      <c r="B337" s="159" t="s">
        <v>318</v>
      </c>
      <c r="C337" s="159" t="s">
        <v>318</v>
      </c>
      <c r="D337" s="159" t="s">
        <v>318</v>
      </c>
      <c r="E337" s="158" t="s">
        <v>266</v>
      </c>
      <c r="F337" s="158" t="s">
        <v>266</v>
      </c>
      <c r="G337" s="159" t="s">
        <v>319</v>
      </c>
      <c r="H337" s="159" t="s">
        <v>319</v>
      </c>
      <c r="I337" s="159" t="s">
        <v>319</v>
      </c>
      <c r="J337" s="159" t="s">
        <v>319</v>
      </c>
    </row>
    <row r="338" spans="1:10" ht="30" customHeight="1" x14ac:dyDescent="0.25">
      <c r="A338" s="71">
        <v>6.3</v>
      </c>
      <c r="B338" s="159" t="s">
        <v>320</v>
      </c>
      <c r="C338" s="159" t="s">
        <v>320</v>
      </c>
      <c r="D338" s="159" t="s">
        <v>320</v>
      </c>
      <c r="E338" s="158" t="s">
        <v>266</v>
      </c>
      <c r="F338" s="158" t="s">
        <v>266</v>
      </c>
      <c r="G338" s="159" t="s">
        <v>321</v>
      </c>
      <c r="H338" s="159" t="s">
        <v>321</v>
      </c>
      <c r="I338" s="159" t="s">
        <v>321</v>
      </c>
      <c r="J338" s="159" t="s">
        <v>321</v>
      </c>
    </row>
    <row r="339" spans="1:10" ht="9.9499999999999993" customHeight="1" x14ac:dyDescent="0.25">
      <c r="A339" s="134"/>
      <c r="B339" s="134"/>
      <c r="C339" s="134"/>
      <c r="D339" s="134"/>
      <c r="E339" s="134"/>
      <c r="F339" s="134"/>
      <c r="G339" s="134"/>
      <c r="H339" s="134"/>
      <c r="I339" s="134"/>
      <c r="J339" s="134"/>
    </row>
    <row r="340" spans="1:10" ht="30" customHeight="1" x14ac:dyDescent="0.25">
      <c r="A340" s="68">
        <v>7</v>
      </c>
      <c r="B340" s="304" t="s">
        <v>322</v>
      </c>
      <c r="C340" s="304"/>
      <c r="D340" s="304"/>
      <c r="E340" s="304"/>
      <c r="F340" s="304"/>
      <c r="G340" s="304"/>
      <c r="H340" s="304"/>
      <c r="I340" s="304"/>
      <c r="J340" s="304"/>
    </row>
    <row r="341" spans="1:10" ht="30" customHeight="1" x14ac:dyDescent="0.25">
      <c r="A341" s="71">
        <v>7.1</v>
      </c>
      <c r="B341" s="159" t="s">
        <v>361</v>
      </c>
      <c r="C341" s="159" t="s">
        <v>361</v>
      </c>
      <c r="D341" s="159" t="s">
        <v>361</v>
      </c>
      <c r="E341" s="158" t="s">
        <v>266</v>
      </c>
      <c r="F341" s="158" t="s">
        <v>266</v>
      </c>
      <c r="G341" s="159" t="s">
        <v>323</v>
      </c>
      <c r="H341" s="159" t="s">
        <v>323</v>
      </c>
      <c r="I341" s="159" t="s">
        <v>323</v>
      </c>
      <c r="J341" s="159" t="s">
        <v>323</v>
      </c>
    </row>
    <row r="342" spans="1:10" ht="30" customHeight="1" x14ac:dyDescent="0.25">
      <c r="A342" s="71">
        <v>7.2</v>
      </c>
      <c r="B342" s="159" t="s">
        <v>324</v>
      </c>
      <c r="C342" s="159" t="s">
        <v>324</v>
      </c>
      <c r="D342" s="159" t="s">
        <v>324</v>
      </c>
      <c r="E342" s="158" t="s">
        <v>266</v>
      </c>
      <c r="F342" s="158" t="s">
        <v>266</v>
      </c>
      <c r="G342" s="159" t="s">
        <v>325</v>
      </c>
      <c r="H342" s="159" t="s">
        <v>325</v>
      </c>
      <c r="I342" s="159" t="s">
        <v>325</v>
      </c>
      <c r="J342" s="159" t="s">
        <v>325</v>
      </c>
    </row>
    <row r="343" spans="1:10" ht="9.9499999999999993" customHeight="1" x14ac:dyDescent="0.25">
      <c r="A343" s="134"/>
      <c r="B343" s="134"/>
      <c r="C343" s="134"/>
      <c r="D343" s="134"/>
      <c r="E343" s="134"/>
      <c r="F343" s="134"/>
      <c r="G343" s="134"/>
      <c r="H343" s="134"/>
      <c r="I343" s="134"/>
      <c r="J343" s="134"/>
    </row>
    <row r="344" spans="1:10" ht="30" customHeight="1" x14ac:dyDescent="0.25">
      <c r="A344" s="68">
        <v>8</v>
      </c>
      <c r="B344" s="304" t="s">
        <v>326</v>
      </c>
      <c r="C344" s="304"/>
      <c r="D344" s="304"/>
      <c r="E344" s="304"/>
      <c r="F344" s="304"/>
      <c r="G344" s="304"/>
      <c r="H344" s="304"/>
      <c r="I344" s="304"/>
      <c r="J344" s="304"/>
    </row>
    <row r="345" spans="1:10" ht="30" customHeight="1" x14ac:dyDescent="0.25">
      <c r="A345" s="71">
        <v>8.1</v>
      </c>
      <c r="B345" s="159" t="s">
        <v>327</v>
      </c>
      <c r="C345" s="159" t="s">
        <v>327</v>
      </c>
      <c r="D345" s="159" t="s">
        <v>327</v>
      </c>
      <c r="E345" s="158" t="s">
        <v>263</v>
      </c>
      <c r="F345" s="158" t="s">
        <v>263</v>
      </c>
      <c r="G345" s="159" t="s">
        <v>328</v>
      </c>
      <c r="H345" s="159" t="s">
        <v>328</v>
      </c>
      <c r="I345" s="159" t="s">
        <v>328</v>
      </c>
      <c r="J345" s="159" t="s">
        <v>328</v>
      </c>
    </row>
    <row r="346" spans="1:10" ht="30" customHeight="1" x14ac:dyDescent="0.25">
      <c r="A346" s="71">
        <v>8.1999999999999993</v>
      </c>
      <c r="B346" s="159" t="s">
        <v>329</v>
      </c>
      <c r="C346" s="159" t="s">
        <v>329</v>
      </c>
      <c r="D346" s="159" t="s">
        <v>329</v>
      </c>
      <c r="E346" s="158" t="s">
        <v>263</v>
      </c>
      <c r="F346" s="158" t="s">
        <v>263</v>
      </c>
      <c r="G346" s="159" t="s">
        <v>362</v>
      </c>
      <c r="H346" s="159" t="s">
        <v>362</v>
      </c>
      <c r="I346" s="159" t="s">
        <v>362</v>
      </c>
      <c r="J346" s="159" t="s">
        <v>362</v>
      </c>
    </row>
    <row r="347" spans="1:10" ht="30" customHeight="1" x14ac:dyDescent="0.25">
      <c r="A347" s="71">
        <v>8.3000000000000007</v>
      </c>
      <c r="B347" s="159" t="s">
        <v>330</v>
      </c>
      <c r="C347" s="159" t="s">
        <v>330</v>
      </c>
      <c r="D347" s="159" t="s">
        <v>330</v>
      </c>
      <c r="E347" s="158" t="s">
        <v>263</v>
      </c>
      <c r="F347" s="158" t="s">
        <v>263</v>
      </c>
      <c r="G347" s="159" t="s">
        <v>331</v>
      </c>
      <c r="H347" s="159" t="s">
        <v>331</v>
      </c>
      <c r="I347" s="159" t="s">
        <v>331</v>
      </c>
      <c r="J347" s="159" t="s">
        <v>331</v>
      </c>
    </row>
    <row r="348" spans="1:10" ht="30" customHeight="1" x14ac:dyDescent="0.25">
      <c r="A348" s="71">
        <v>8.4</v>
      </c>
      <c r="B348" s="159" t="s">
        <v>658</v>
      </c>
      <c r="C348" s="159" t="s">
        <v>330</v>
      </c>
      <c r="D348" s="159" t="s">
        <v>330</v>
      </c>
      <c r="E348" s="158" t="s">
        <v>266</v>
      </c>
      <c r="F348" s="158" t="s">
        <v>266</v>
      </c>
      <c r="G348" s="159" t="s">
        <v>659</v>
      </c>
      <c r="H348" s="159" t="s">
        <v>331</v>
      </c>
      <c r="I348" s="159" t="s">
        <v>331</v>
      </c>
      <c r="J348" s="159" t="s">
        <v>331</v>
      </c>
    </row>
    <row r="349" spans="1:10" ht="30" customHeight="1" x14ac:dyDescent="0.25">
      <c r="A349" s="71">
        <v>8.5</v>
      </c>
      <c r="B349" s="159" t="s">
        <v>330</v>
      </c>
      <c r="C349" s="159" t="s">
        <v>330</v>
      </c>
      <c r="D349" s="159" t="s">
        <v>330</v>
      </c>
      <c r="E349" s="158" t="s">
        <v>263</v>
      </c>
      <c r="F349" s="158" t="s">
        <v>263</v>
      </c>
      <c r="G349" s="159" t="s">
        <v>331</v>
      </c>
      <c r="H349" s="159" t="s">
        <v>331</v>
      </c>
      <c r="I349" s="159" t="s">
        <v>331</v>
      </c>
      <c r="J349" s="159" t="s">
        <v>331</v>
      </c>
    </row>
    <row r="350" spans="1:10" ht="15" customHeight="1" x14ac:dyDescent="0.25">
      <c r="A350" s="2"/>
      <c r="B350" s="2"/>
      <c r="C350" s="2"/>
      <c r="D350" s="2"/>
      <c r="E350" s="2"/>
      <c r="F350" s="2"/>
      <c r="G350" s="2"/>
      <c r="H350" s="2"/>
      <c r="I350" s="2"/>
      <c r="J350" s="2"/>
    </row>
    <row r="351" spans="1:10" ht="15" customHeight="1" x14ac:dyDescent="0.25">
      <c r="A351" s="2"/>
      <c r="B351" s="2"/>
      <c r="C351" s="2"/>
      <c r="D351" s="2"/>
      <c r="E351" s="2"/>
      <c r="F351" s="2"/>
      <c r="G351" s="2"/>
      <c r="H351" s="2"/>
      <c r="I351" s="2"/>
      <c r="J351" s="2"/>
    </row>
    <row r="352" spans="1:10" ht="20.100000000000001" customHeight="1" thickBot="1" x14ac:dyDescent="0.35">
      <c r="A352" s="142" t="s">
        <v>640</v>
      </c>
      <c r="B352" s="142"/>
      <c r="C352" s="142"/>
      <c r="D352" s="142"/>
      <c r="E352" s="142"/>
      <c r="F352" s="142"/>
      <c r="G352" s="142"/>
      <c r="H352" s="142"/>
      <c r="I352" s="142"/>
      <c r="J352" s="142"/>
    </row>
    <row r="353" spans="1:10" ht="6.95" customHeight="1" thickTop="1" x14ac:dyDescent="0.3">
      <c r="A353" s="90"/>
      <c r="B353" s="90"/>
      <c r="C353" s="90"/>
      <c r="D353" s="90"/>
      <c r="E353" s="90"/>
      <c r="F353" s="90"/>
      <c r="G353" s="90"/>
      <c r="H353" s="90"/>
      <c r="I353" s="90"/>
      <c r="J353" s="90"/>
    </row>
    <row r="354" spans="1:10" ht="15" customHeight="1" x14ac:dyDescent="0.25">
      <c r="A354" s="147" t="s">
        <v>641</v>
      </c>
      <c r="B354" s="147"/>
      <c r="C354" s="147"/>
      <c r="D354" s="147"/>
      <c r="E354" s="147"/>
      <c r="F354" s="147"/>
      <c r="G354" s="147"/>
      <c r="H354" s="147"/>
      <c r="I354" s="147"/>
      <c r="J354" s="147"/>
    </row>
    <row r="355" spans="1:10" ht="15" customHeight="1" x14ac:dyDescent="0.25">
      <c r="A355" s="147"/>
      <c r="B355" s="147"/>
      <c r="C355" s="147"/>
      <c r="D355" s="147"/>
      <c r="E355" s="147"/>
      <c r="F355" s="147"/>
      <c r="G355" s="147"/>
      <c r="H355" s="147"/>
      <c r="I355" s="147"/>
      <c r="J355" s="147"/>
    </row>
    <row r="356" spans="1:10" ht="15" customHeight="1" x14ac:dyDescent="0.25">
      <c r="A356" s="147"/>
      <c r="B356" s="147"/>
      <c r="C356" s="147"/>
      <c r="D356" s="147"/>
      <c r="E356" s="147"/>
      <c r="F356" s="147"/>
      <c r="G356" s="147"/>
      <c r="H356" s="147"/>
      <c r="I356" s="147"/>
      <c r="J356" s="147"/>
    </row>
    <row r="357" spans="1:10" ht="6.95" customHeight="1" x14ac:dyDescent="0.25">
      <c r="A357" s="16"/>
      <c r="B357" s="16"/>
      <c r="C357" s="16"/>
      <c r="D357" s="16"/>
      <c r="E357" s="16"/>
      <c r="F357" s="16"/>
      <c r="G357" s="16"/>
      <c r="H357" s="16"/>
      <c r="I357" s="16"/>
      <c r="J357" s="16"/>
    </row>
    <row r="358" spans="1:10" ht="15" customHeight="1" x14ac:dyDescent="0.25">
      <c r="A358" s="148" t="s">
        <v>642</v>
      </c>
      <c r="B358" s="149"/>
      <c r="C358" s="149"/>
      <c r="D358" s="149"/>
      <c r="E358" s="149"/>
      <c r="F358" s="149"/>
      <c r="G358" s="149"/>
      <c r="H358" s="149"/>
      <c r="I358" s="149"/>
      <c r="J358" s="150"/>
    </row>
    <row r="359" spans="1:10" ht="6.95" customHeight="1" x14ac:dyDescent="0.25">
      <c r="A359" s="89"/>
      <c r="B359" s="89"/>
      <c r="C359" s="89"/>
      <c r="D359" s="89"/>
      <c r="E359" s="89"/>
      <c r="F359" s="89"/>
      <c r="G359" s="89"/>
      <c r="H359" s="89"/>
      <c r="I359" s="89"/>
      <c r="J359" s="89"/>
    </row>
    <row r="360" spans="1:10" ht="15" customHeight="1" x14ac:dyDescent="0.25">
      <c r="A360" s="147" t="s">
        <v>653</v>
      </c>
      <c r="B360" s="147"/>
      <c r="C360" s="147"/>
      <c r="D360" s="147"/>
      <c r="E360" s="147"/>
      <c r="F360" s="147"/>
      <c r="G360" s="147"/>
      <c r="H360" s="147"/>
      <c r="I360" s="147"/>
      <c r="J360" s="147"/>
    </row>
    <row r="361" spans="1:10" ht="15" customHeight="1" x14ac:dyDescent="0.25">
      <c r="A361" s="147"/>
      <c r="B361" s="147"/>
      <c r="C361" s="147"/>
      <c r="D361" s="147"/>
      <c r="E361" s="147"/>
      <c r="F361" s="147"/>
      <c r="G361" s="147"/>
      <c r="H361" s="147"/>
      <c r="I361" s="147"/>
      <c r="J361" s="147"/>
    </row>
    <row r="362" spans="1:10" ht="15" customHeight="1" x14ac:dyDescent="0.25">
      <c r="A362" s="147"/>
      <c r="B362" s="147"/>
      <c r="C362" s="147"/>
      <c r="D362" s="147"/>
      <c r="E362" s="147"/>
      <c r="F362" s="147"/>
      <c r="G362" s="147"/>
      <c r="H362" s="147"/>
      <c r="I362" s="147"/>
      <c r="J362" s="147"/>
    </row>
    <row r="363" spans="1:10" ht="15" customHeight="1" x14ac:dyDescent="0.25">
      <c r="A363" s="147"/>
      <c r="B363" s="147"/>
      <c r="C363" s="147"/>
      <c r="D363" s="147"/>
      <c r="E363" s="147"/>
      <c r="F363" s="147"/>
      <c r="G363" s="147"/>
      <c r="H363" s="147"/>
      <c r="I363" s="147"/>
      <c r="J363" s="147"/>
    </row>
    <row r="364" spans="1:10" ht="15" customHeight="1" x14ac:dyDescent="0.25">
      <c r="A364" s="147"/>
      <c r="B364" s="147"/>
      <c r="C364" s="147"/>
      <c r="D364" s="147"/>
      <c r="E364" s="147"/>
      <c r="F364" s="147"/>
      <c r="G364" s="147"/>
      <c r="H364" s="147"/>
      <c r="I364" s="147"/>
      <c r="J364" s="147"/>
    </row>
    <row r="365" spans="1:10" ht="15" customHeight="1" x14ac:dyDescent="0.25">
      <c r="A365" s="147"/>
      <c r="B365" s="147"/>
      <c r="C365" s="147"/>
      <c r="D365" s="147"/>
      <c r="E365" s="147"/>
      <c r="F365" s="147"/>
      <c r="G365" s="147"/>
      <c r="H365" s="147"/>
      <c r="I365" s="147"/>
      <c r="J365" s="147"/>
    </row>
    <row r="366" spans="1:10" ht="15" customHeight="1" x14ac:dyDescent="0.25">
      <c r="A366" s="147"/>
      <c r="B366" s="147"/>
      <c r="C366" s="147"/>
      <c r="D366" s="147"/>
      <c r="E366" s="147"/>
      <c r="F366" s="147"/>
      <c r="G366" s="147"/>
      <c r="H366" s="147"/>
      <c r="I366" s="147"/>
      <c r="J366" s="147"/>
    </row>
    <row r="367" spans="1:10" ht="6.95" customHeight="1" x14ac:dyDescent="0.25">
      <c r="A367" s="81"/>
      <c r="B367" s="81"/>
      <c r="C367" s="81"/>
      <c r="D367" s="81"/>
      <c r="E367" s="81"/>
      <c r="F367" s="81"/>
      <c r="G367" s="81"/>
      <c r="H367" s="81"/>
      <c r="I367" s="81"/>
      <c r="J367" s="81"/>
    </row>
    <row r="368" spans="1:10" ht="15" customHeight="1" x14ac:dyDescent="0.25">
      <c r="A368" s="148" t="s">
        <v>643</v>
      </c>
      <c r="B368" s="149"/>
      <c r="C368" s="149"/>
      <c r="D368" s="149"/>
      <c r="E368" s="149"/>
      <c r="F368" s="149"/>
      <c r="G368" s="149"/>
      <c r="H368" s="149"/>
      <c r="I368" s="149"/>
      <c r="J368" s="150"/>
    </row>
    <row r="369" spans="1:10" ht="6.95" customHeight="1" x14ac:dyDescent="0.25">
      <c r="A369" s="81"/>
      <c r="B369" s="81"/>
      <c r="C369" s="81"/>
      <c r="D369" s="81"/>
      <c r="E369" s="81"/>
      <c r="F369" s="81"/>
      <c r="G369" s="81"/>
      <c r="H369" s="81"/>
      <c r="I369" s="81"/>
      <c r="J369" s="81"/>
    </row>
    <row r="370" spans="1:10" ht="15" customHeight="1" x14ac:dyDescent="0.25">
      <c r="A370" s="147" t="s">
        <v>652</v>
      </c>
      <c r="B370" s="147"/>
      <c r="C370" s="147"/>
      <c r="D370" s="147"/>
      <c r="E370" s="147"/>
      <c r="F370" s="147"/>
      <c r="G370" s="147"/>
      <c r="H370" s="147"/>
      <c r="I370" s="147"/>
      <c r="J370" s="147"/>
    </row>
    <row r="371" spans="1:10" ht="15" customHeight="1" x14ac:dyDescent="0.25">
      <c r="A371" s="147"/>
      <c r="B371" s="147"/>
      <c r="C371" s="147"/>
      <c r="D371" s="147"/>
      <c r="E371" s="147"/>
      <c r="F371" s="147"/>
      <c r="G371" s="147"/>
      <c r="H371" s="147"/>
      <c r="I371" s="147"/>
      <c r="J371" s="147"/>
    </row>
    <row r="372" spans="1:10" ht="15" customHeight="1" x14ac:dyDescent="0.25">
      <c r="A372" s="147"/>
      <c r="B372" s="147"/>
      <c r="C372" s="147"/>
      <c r="D372" s="147"/>
      <c r="E372" s="147"/>
      <c r="F372" s="147"/>
      <c r="G372" s="147"/>
      <c r="H372" s="147"/>
      <c r="I372" s="147"/>
      <c r="J372" s="147"/>
    </row>
    <row r="373" spans="1:10" ht="15" customHeight="1" x14ac:dyDescent="0.25">
      <c r="A373" s="147"/>
      <c r="B373" s="147"/>
      <c r="C373" s="147"/>
      <c r="D373" s="147"/>
      <c r="E373" s="147"/>
      <c r="F373" s="147"/>
      <c r="G373" s="147"/>
      <c r="H373" s="147"/>
      <c r="I373" s="147"/>
      <c r="J373" s="147"/>
    </row>
    <row r="374" spans="1:10" ht="15" customHeight="1" x14ac:dyDescent="0.25">
      <c r="A374" s="147"/>
      <c r="B374" s="147"/>
      <c r="C374" s="147"/>
      <c r="D374" s="147"/>
      <c r="E374" s="147"/>
      <c r="F374" s="147"/>
      <c r="G374" s="147"/>
      <c r="H374" s="147"/>
      <c r="I374" s="147"/>
      <c r="J374" s="147"/>
    </row>
    <row r="375" spans="1:10" ht="15" customHeight="1" x14ac:dyDescent="0.25">
      <c r="A375" s="147"/>
      <c r="B375" s="147"/>
      <c r="C375" s="147"/>
      <c r="D375" s="147"/>
      <c r="E375" s="147"/>
      <c r="F375" s="147"/>
      <c r="G375" s="147"/>
      <c r="H375" s="147"/>
      <c r="I375" s="147"/>
      <c r="J375" s="147"/>
    </row>
    <row r="376" spans="1:10" ht="15" customHeight="1" x14ac:dyDescent="0.25">
      <c r="A376" s="147"/>
      <c r="B376" s="147"/>
      <c r="C376" s="147"/>
      <c r="D376" s="147"/>
      <c r="E376" s="147"/>
      <c r="F376" s="147"/>
      <c r="G376" s="147"/>
      <c r="H376" s="147"/>
      <c r="I376" s="147"/>
      <c r="J376" s="147"/>
    </row>
    <row r="377" spans="1:10" ht="15" customHeight="1" x14ac:dyDescent="0.25">
      <c r="A377" s="147"/>
      <c r="B377" s="147"/>
      <c r="C377" s="147"/>
      <c r="D377" s="147"/>
      <c r="E377" s="147"/>
      <c r="F377" s="147"/>
      <c r="G377" s="147"/>
      <c r="H377" s="147"/>
      <c r="I377" s="147"/>
      <c r="J377" s="147"/>
    </row>
    <row r="378" spans="1:10" ht="15" customHeight="1" x14ac:dyDescent="0.25">
      <c r="A378" s="147"/>
      <c r="B378" s="147"/>
      <c r="C378" s="147"/>
      <c r="D378" s="147"/>
      <c r="E378" s="147"/>
      <c r="F378" s="147"/>
      <c r="G378" s="147"/>
      <c r="H378" s="147"/>
      <c r="I378" s="147"/>
      <c r="J378" s="147"/>
    </row>
    <row r="379" spans="1:10" ht="6.95" customHeight="1" x14ac:dyDescent="0.25">
      <c r="A379" s="81"/>
      <c r="B379" s="81"/>
      <c r="C379" s="81"/>
      <c r="D379" s="81"/>
      <c r="E379" s="81"/>
      <c r="F379" s="81"/>
      <c r="G379" s="81"/>
      <c r="H379" s="81"/>
      <c r="I379" s="81"/>
      <c r="J379" s="81"/>
    </row>
    <row r="380" spans="1:10" ht="15" customHeight="1" x14ac:dyDescent="0.25">
      <c r="A380" s="148" t="s">
        <v>644</v>
      </c>
      <c r="B380" s="149"/>
      <c r="C380" s="149"/>
      <c r="D380" s="149"/>
      <c r="E380" s="149"/>
      <c r="F380" s="149"/>
      <c r="G380" s="149"/>
      <c r="H380" s="149"/>
      <c r="I380" s="149"/>
      <c r="J380" s="150"/>
    </row>
    <row r="381" spans="1:10" ht="6.95" customHeight="1" x14ac:dyDescent="0.25">
      <c r="A381" s="81"/>
      <c r="B381" s="81"/>
      <c r="C381" s="81"/>
      <c r="D381" s="81"/>
      <c r="E381" s="81"/>
      <c r="F381" s="81"/>
      <c r="G381" s="81"/>
      <c r="H381" s="81"/>
      <c r="I381" s="81"/>
      <c r="J381" s="81"/>
    </row>
    <row r="382" spans="1:10" ht="15" customHeight="1" x14ac:dyDescent="0.25">
      <c r="A382" s="147" t="s">
        <v>650</v>
      </c>
      <c r="B382" s="147"/>
      <c r="C382" s="147"/>
      <c r="D382" s="147"/>
      <c r="E382" s="147"/>
      <c r="F382" s="147"/>
      <c r="G382" s="147"/>
      <c r="H382" s="147"/>
      <c r="I382" s="147"/>
      <c r="J382" s="147"/>
    </row>
    <row r="383" spans="1:10" ht="15" customHeight="1" x14ac:dyDescent="0.25">
      <c r="A383" s="147"/>
      <c r="B383" s="147"/>
      <c r="C383" s="147"/>
      <c r="D383" s="147"/>
      <c r="E383" s="147"/>
      <c r="F383" s="147"/>
      <c r="G383" s="147"/>
      <c r="H383" s="147"/>
      <c r="I383" s="147"/>
      <c r="J383" s="147"/>
    </row>
    <row r="384" spans="1:10" ht="15" customHeight="1" x14ac:dyDescent="0.25">
      <c r="A384" s="147"/>
      <c r="B384" s="147"/>
      <c r="C384" s="147"/>
      <c r="D384" s="147"/>
      <c r="E384" s="147"/>
      <c r="F384" s="147"/>
      <c r="G384" s="147"/>
      <c r="H384" s="147"/>
      <c r="I384" s="147"/>
      <c r="J384" s="147"/>
    </row>
    <row r="385" spans="1:10" ht="15" customHeight="1" x14ac:dyDescent="0.25">
      <c r="A385" s="147"/>
      <c r="B385" s="147"/>
      <c r="C385" s="147"/>
      <c r="D385" s="147"/>
      <c r="E385" s="147"/>
      <c r="F385" s="147"/>
      <c r="G385" s="147"/>
      <c r="H385" s="147"/>
      <c r="I385" s="147"/>
      <c r="J385" s="147"/>
    </row>
    <row r="386" spans="1:10" ht="15" customHeight="1" x14ac:dyDescent="0.25">
      <c r="A386" s="147"/>
      <c r="B386" s="147"/>
      <c r="C386" s="147"/>
      <c r="D386" s="147"/>
      <c r="E386" s="147"/>
      <c r="F386" s="147"/>
      <c r="G386" s="147"/>
      <c r="H386" s="147"/>
      <c r="I386" s="147"/>
      <c r="J386" s="147"/>
    </row>
    <row r="387" spans="1:10" ht="15" customHeight="1" x14ac:dyDescent="0.25">
      <c r="A387" s="147"/>
      <c r="B387" s="147"/>
      <c r="C387" s="147"/>
      <c r="D387" s="147"/>
      <c r="E387" s="147"/>
      <c r="F387" s="147"/>
      <c r="G387" s="147"/>
      <c r="H387" s="147"/>
      <c r="I387" s="147"/>
      <c r="J387" s="147"/>
    </row>
    <row r="388" spans="1:10" ht="15" customHeight="1" x14ac:dyDescent="0.25">
      <c r="A388" s="147"/>
      <c r="B388" s="147"/>
      <c r="C388" s="147"/>
      <c r="D388" s="147"/>
      <c r="E388" s="147"/>
      <c r="F388" s="147"/>
      <c r="G388" s="147"/>
      <c r="H388" s="147"/>
      <c r="I388" s="147"/>
      <c r="J388" s="147"/>
    </row>
    <row r="389" spans="1:10" ht="15" customHeight="1" x14ac:dyDescent="0.25">
      <c r="A389" s="147"/>
      <c r="B389" s="147"/>
      <c r="C389" s="147"/>
      <c r="D389" s="147"/>
      <c r="E389" s="147"/>
      <c r="F389" s="147"/>
      <c r="G389" s="147"/>
      <c r="H389" s="147"/>
      <c r="I389" s="147"/>
      <c r="J389" s="147"/>
    </row>
    <row r="390" spans="1:10" ht="15" customHeight="1" x14ac:dyDescent="0.25">
      <c r="A390" s="147"/>
      <c r="B390" s="147"/>
      <c r="C390" s="147"/>
      <c r="D390" s="147"/>
      <c r="E390" s="147"/>
      <c r="F390" s="147"/>
      <c r="G390" s="147"/>
      <c r="H390" s="147"/>
      <c r="I390" s="147"/>
      <c r="J390" s="147"/>
    </row>
    <row r="391" spans="1:10" ht="6.95" customHeight="1" x14ac:dyDescent="0.25">
      <c r="A391" s="81"/>
      <c r="B391" s="81"/>
      <c r="C391" s="81"/>
      <c r="D391" s="81"/>
      <c r="E391" s="81"/>
      <c r="F391" s="81"/>
      <c r="G391" s="81"/>
      <c r="H391" s="81"/>
      <c r="I391" s="81"/>
      <c r="J391" s="81"/>
    </row>
    <row r="392" spans="1:10" ht="15" customHeight="1" x14ac:dyDescent="0.25">
      <c r="A392" s="148" t="s">
        <v>645</v>
      </c>
      <c r="B392" s="149"/>
      <c r="C392" s="149"/>
      <c r="D392" s="149"/>
      <c r="E392" s="149"/>
      <c r="F392" s="149"/>
      <c r="G392" s="149"/>
      <c r="H392" s="149"/>
      <c r="I392" s="149"/>
      <c r="J392" s="150"/>
    </row>
    <row r="393" spans="1:10" ht="6.95" customHeight="1" x14ac:dyDescent="0.25">
      <c r="A393" s="81"/>
      <c r="B393" s="81"/>
      <c r="C393" s="81"/>
      <c r="D393" s="81"/>
      <c r="E393" s="81"/>
      <c r="F393" s="81"/>
      <c r="G393" s="81"/>
      <c r="H393" s="81"/>
      <c r="I393" s="81"/>
      <c r="J393" s="81"/>
    </row>
    <row r="394" spans="1:10" ht="15" customHeight="1" x14ac:dyDescent="0.25">
      <c r="A394" s="147" t="s">
        <v>651</v>
      </c>
      <c r="B394" s="147"/>
      <c r="C394" s="147"/>
      <c r="D394" s="147"/>
      <c r="E394" s="147"/>
      <c r="F394" s="147"/>
      <c r="G394" s="147"/>
      <c r="H394" s="147"/>
      <c r="I394" s="147"/>
      <c r="J394" s="147"/>
    </row>
    <row r="395" spans="1:10" ht="15" customHeight="1" x14ac:dyDescent="0.25">
      <c r="A395" s="147"/>
      <c r="B395" s="147"/>
      <c r="C395" s="147"/>
      <c r="D395" s="147"/>
      <c r="E395" s="147"/>
      <c r="F395" s="147"/>
      <c r="G395" s="147"/>
      <c r="H395" s="147"/>
      <c r="I395" s="147"/>
      <c r="J395" s="147"/>
    </row>
    <row r="396" spans="1:10" ht="15" customHeight="1" x14ac:dyDescent="0.25">
      <c r="A396" s="147"/>
      <c r="B396" s="147"/>
      <c r="C396" s="147"/>
      <c r="D396" s="147"/>
      <c r="E396" s="147"/>
      <c r="F396" s="147"/>
      <c r="G396" s="147"/>
      <c r="H396" s="147"/>
      <c r="I396" s="147"/>
      <c r="J396" s="147"/>
    </row>
    <row r="397" spans="1:10" ht="15" customHeight="1" x14ac:dyDescent="0.25">
      <c r="A397" s="147"/>
      <c r="B397" s="147"/>
      <c r="C397" s="147"/>
      <c r="D397" s="147"/>
      <c r="E397" s="147"/>
      <c r="F397" s="147"/>
      <c r="G397" s="147"/>
      <c r="H397" s="147"/>
      <c r="I397" s="147"/>
      <c r="J397" s="147"/>
    </row>
    <row r="398" spans="1:10" ht="15" customHeight="1" x14ac:dyDescent="0.25">
      <c r="A398" s="147"/>
      <c r="B398" s="147"/>
      <c r="C398" s="147"/>
      <c r="D398" s="147"/>
      <c r="E398" s="147"/>
      <c r="F398" s="147"/>
      <c r="G398" s="147"/>
      <c r="H398" s="147"/>
      <c r="I398" s="147"/>
      <c r="J398" s="147"/>
    </row>
    <row r="399" spans="1:10" ht="15" customHeight="1" x14ac:dyDescent="0.25">
      <c r="A399" s="147"/>
      <c r="B399" s="147"/>
      <c r="C399" s="147"/>
      <c r="D399" s="147"/>
      <c r="E399" s="147"/>
      <c r="F399" s="147"/>
      <c r="G399" s="147"/>
      <c r="H399" s="147"/>
      <c r="I399" s="147"/>
      <c r="J399" s="147"/>
    </row>
    <row r="400" spans="1:10" ht="15" customHeight="1" x14ac:dyDescent="0.25">
      <c r="A400" s="147"/>
      <c r="B400" s="147"/>
      <c r="C400" s="147"/>
      <c r="D400" s="147"/>
      <c r="E400" s="147"/>
      <c r="F400" s="147"/>
      <c r="G400" s="147"/>
      <c r="H400" s="147"/>
      <c r="I400" s="147"/>
      <c r="J400" s="147"/>
    </row>
    <row r="401" spans="1:10" ht="15" customHeight="1" x14ac:dyDescent="0.25">
      <c r="A401" s="147"/>
      <c r="B401" s="147"/>
      <c r="C401" s="147"/>
      <c r="D401" s="147"/>
      <c r="E401" s="147"/>
      <c r="F401" s="147"/>
      <c r="G401" s="147"/>
      <c r="H401" s="147"/>
      <c r="I401" s="147"/>
      <c r="J401" s="147"/>
    </row>
    <row r="402" spans="1:10" ht="15" customHeight="1" x14ac:dyDescent="0.25">
      <c r="A402" s="147"/>
      <c r="B402" s="147"/>
      <c r="C402" s="147"/>
      <c r="D402" s="147"/>
      <c r="E402" s="147"/>
      <c r="F402" s="147"/>
      <c r="G402" s="147"/>
      <c r="H402" s="147"/>
      <c r="I402" s="147"/>
      <c r="J402" s="147"/>
    </row>
    <row r="403" spans="1:10" ht="15" customHeight="1" x14ac:dyDescent="0.25">
      <c r="A403" s="147"/>
      <c r="B403" s="147"/>
      <c r="C403" s="147"/>
      <c r="D403" s="147"/>
      <c r="E403" s="147"/>
      <c r="F403" s="147"/>
      <c r="G403" s="147"/>
      <c r="H403" s="147"/>
      <c r="I403" s="147"/>
      <c r="J403" s="147"/>
    </row>
    <row r="404" spans="1:10" ht="15" customHeight="1" x14ac:dyDescent="0.25">
      <c r="A404" s="147"/>
      <c r="B404" s="147"/>
      <c r="C404" s="147"/>
      <c r="D404" s="147"/>
      <c r="E404" s="147"/>
      <c r="F404" s="147"/>
      <c r="G404" s="147"/>
      <c r="H404" s="147"/>
      <c r="I404" s="147"/>
      <c r="J404" s="147"/>
    </row>
    <row r="405" spans="1:10" ht="15" customHeight="1" x14ac:dyDescent="0.25">
      <c r="A405" s="148" t="s">
        <v>646</v>
      </c>
      <c r="B405" s="149"/>
      <c r="C405" s="149"/>
      <c r="D405" s="149"/>
      <c r="E405" s="149"/>
      <c r="F405" s="149"/>
      <c r="G405" s="149"/>
      <c r="H405" s="149"/>
      <c r="I405" s="149"/>
      <c r="J405" s="150"/>
    </row>
    <row r="406" spans="1:10" ht="6.95" customHeight="1" x14ac:dyDescent="0.25">
      <c r="A406" s="81"/>
      <c r="B406" s="81"/>
      <c r="C406" s="81"/>
      <c r="D406" s="81"/>
      <c r="E406" s="81"/>
      <c r="F406" s="81"/>
      <c r="G406" s="81"/>
      <c r="H406" s="81"/>
      <c r="I406" s="81"/>
      <c r="J406" s="81"/>
    </row>
    <row r="407" spans="1:10" ht="15" customHeight="1" x14ac:dyDescent="0.25">
      <c r="A407" s="147" t="s">
        <v>647</v>
      </c>
      <c r="B407" s="147"/>
      <c r="C407" s="147"/>
      <c r="D407" s="147"/>
      <c r="E407" s="147"/>
      <c r="F407" s="147"/>
      <c r="G407" s="147"/>
      <c r="H407" s="147"/>
      <c r="I407" s="147"/>
      <c r="J407" s="147"/>
    </row>
    <row r="408" spans="1:10" ht="15" customHeight="1" x14ac:dyDescent="0.25">
      <c r="A408" s="147"/>
      <c r="B408" s="147"/>
      <c r="C408" s="147"/>
      <c r="D408" s="147"/>
      <c r="E408" s="147"/>
      <c r="F408" s="147"/>
      <c r="G408" s="147"/>
      <c r="H408" s="147"/>
      <c r="I408" s="147"/>
      <c r="J408" s="147"/>
    </row>
    <row r="409" spans="1:10" ht="15" customHeight="1" x14ac:dyDescent="0.25">
      <c r="A409" s="147"/>
      <c r="B409" s="147"/>
      <c r="C409" s="147"/>
      <c r="D409" s="147"/>
      <c r="E409" s="147"/>
      <c r="F409" s="147"/>
      <c r="G409" s="147"/>
      <c r="H409" s="147"/>
      <c r="I409" s="147"/>
      <c r="J409" s="147"/>
    </row>
    <row r="410" spans="1:10" ht="15" customHeight="1" x14ac:dyDescent="0.25">
      <c r="A410" s="147"/>
      <c r="B410" s="147"/>
      <c r="C410" s="147"/>
      <c r="D410" s="147"/>
      <c r="E410" s="147"/>
      <c r="F410" s="147"/>
      <c r="G410" s="147"/>
      <c r="H410" s="147"/>
      <c r="I410" s="147"/>
      <c r="J410" s="147"/>
    </row>
    <row r="411" spans="1:10" ht="15" customHeight="1" x14ac:dyDescent="0.25">
      <c r="A411" s="147"/>
      <c r="B411" s="147"/>
      <c r="C411" s="147"/>
      <c r="D411" s="147"/>
      <c r="E411" s="147"/>
      <c r="F411" s="147"/>
      <c r="G411" s="147"/>
      <c r="H411" s="147"/>
      <c r="I411" s="147"/>
      <c r="J411" s="147"/>
    </row>
    <row r="412" spans="1:10" ht="6.95" customHeight="1" x14ac:dyDescent="0.25">
      <c r="A412" s="81"/>
      <c r="B412" s="81"/>
      <c r="C412" s="81"/>
      <c r="D412" s="81"/>
      <c r="E412" s="81"/>
      <c r="F412" s="81"/>
      <c r="G412" s="81"/>
      <c r="H412" s="81"/>
      <c r="I412" s="81"/>
      <c r="J412" s="81"/>
    </row>
    <row r="413" spans="1:10" ht="15" customHeight="1" x14ac:dyDescent="0.25">
      <c r="A413" s="148" t="s">
        <v>648</v>
      </c>
      <c r="B413" s="149"/>
      <c r="C413" s="149"/>
      <c r="D413" s="149"/>
      <c r="E413" s="149"/>
      <c r="F413" s="149"/>
      <c r="G413" s="149"/>
      <c r="H413" s="149"/>
      <c r="I413" s="149"/>
      <c r="J413" s="150"/>
    </row>
    <row r="414" spans="1:10" ht="6.95" customHeight="1" x14ac:dyDescent="0.25">
      <c r="A414" s="81"/>
      <c r="B414" s="81"/>
      <c r="C414" s="81"/>
      <c r="D414" s="81"/>
      <c r="E414" s="81"/>
      <c r="F414" s="81"/>
      <c r="G414" s="81"/>
      <c r="H414" s="81"/>
      <c r="I414" s="81"/>
      <c r="J414" s="81"/>
    </row>
    <row r="415" spans="1:10" ht="15" customHeight="1" x14ac:dyDescent="0.25">
      <c r="A415" s="147" t="s">
        <v>649</v>
      </c>
      <c r="B415" s="147"/>
      <c r="C415" s="147"/>
      <c r="D415" s="147"/>
      <c r="E415" s="147"/>
      <c r="F415" s="147"/>
      <c r="G415" s="147"/>
      <c r="H415" s="147"/>
      <c r="I415" s="147"/>
      <c r="J415" s="147"/>
    </row>
    <row r="416" spans="1:10" ht="15" customHeight="1" x14ac:dyDescent="0.25">
      <c r="A416" s="147"/>
      <c r="B416" s="147"/>
      <c r="C416" s="147"/>
      <c r="D416" s="147"/>
      <c r="E416" s="147"/>
      <c r="F416" s="147"/>
      <c r="G416" s="147"/>
      <c r="H416" s="147"/>
      <c r="I416" s="147"/>
      <c r="J416" s="147"/>
    </row>
    <row r="417" spans="1:10" ht="15" customHeight="1" x14ac:dyDescent="0.25">
      <c r="A417" s="147"/>
      <c r="B417" s="147"/>
      <c r="C417" s="147"/>
      <c r="D417" s="147"/>
      <c r="E417" s="147"/>
      <c r="F417" s="147"/>
      <c r="G417" s="147"/>
      <c r="H417" s="147"/>
      <c r="I417" s="147"/>
      <c r="J417" s="147"/>
    </row>
    <row r="418" spans="1:10" ht="15" customHeight="1" x14ac:dyDescent="0.25">
      <c r="A418" s="147"/>
      <c r="B418" s="147"/>
      <c r="C418" s="147"/>
      <c r="D418" s="147"/>
      <c r="E418" s="147"/>
      <c r="F418" s="147"/>
      <c r="G418" s="147"/>
      <c r="H418" s="147"/>
      <c r="I418" s="147"/>
      <c r="J418" s="147"/>
    </row>
    <row r="419" spans="1:10" ht="15" customHeight="1" x14ac:dyDescent="0.25">
      <c r="A419" s="147"/>
      <c r="B419" s="147"/>
      <c r="C419" s="147"/>
      <c r="D419" s="147"/>
      <c r="E419" s="147"/>
      <c r="F419" s="147"/>
      <c r="G419" s="147"/>
      <c r="H419" s="147"/>
      <c r="I419" s="147"/>
      <c r="J419" s="147"/>
    </row>
    <row r="420" spans="1:10" ht="15" customHeight="1" x14ac:dyDescent="0.25">
      <c r="A420" s="147"/>
      <c r="B420" s="147"/>
      <c r="C420" s="147"/>
      <c r="D420" s="147"/>
      <c r="E420" s="147"/>
      <c r="F420" s="147"/>
      <c r="G420" s="147"/>
      <c r="H420" s="147"/>
      <c r="I420" s="147"/>
      <c r="J420" s="147"/>
    </row>
    <row r="421" spans="1:10" ht="15" customHeight="1" x14ac:dyDescent="0.25">
      <c r="A421" s="147"/>
      <c r="B421" s="147"/>
      <c r="C421" s="147"/>
      <c r="D421" s="147"/>
      <c r="E421" s="147"/>
      <c r="F421" s="147"/>
      <c r="G421" s="147"/>
      <c r="H421" s="147"/>
      <c r="I421" s="147"/>
      <c r="J421" s="147"/>
    </row>
    <row r="422" spans="1:10" ht="15" customHeight="1" x14ac:dyDescent="0.25">
      <c r="A422" s="147"/>
      <c r="B422" s="147"/>
      <c r="C422" s="147"/>
      <c r="D422" s="147"/>
      <c r="E422" s="147"/>
      <c r="F422" s="147"/>
      <c r="G422" s="147"/>
      <c r="H422" s="147"/>
      <c r="I422" s="147"/>
      <c r="J422" s="147"/>
    </row>
    <row r="423" spans="1:10" ht="15" customHeight="1" x14ac:dyDescent="0.25">
      <c r="A423" s="147"/>
      <c r="B423" s="147"/>
      <c r="C423" s="147"/>
      <c r="D423" s="147"/>
      <c r="E423" s="147"/>
      <c r="F423" s="147"/>
      <c r="G423" s="147"/>
      <c r="H423" s="147"/>
      <c r="I423" s="147"/>
      <c r="J423" s="147"/>
    </row>
    <row r="424" spans="1:10" ht="15" customHeight="1" x14ac:dyDescent="0.25">
      <c r="A424" s="16"/>
      <c r="B424" s="16"/>
      <c r="C424" s="16"/>
      <c r="D424" s="16"/>
      <c r="E424" s="16"/>
      <c r="F424" s="16"/>
      <c r="G424" s="16"/>
      <c r="H424" s="16"/>
      <c r="I424" s="16"/>
      <c r="J424" s="16"/>
    </row>
    <row r="425" spans="1:10" ht="15" customHeight="1" x14ac:dyDescent="0.25">
      <c r="A425" s="16"/>
      <c r="B425" s="16"/>
      <c r="C425" s="16"/>
      <c r="D425" s="16"/>
      <c r="E425" s="16"/>
      <c r="F425" s="16"/>
      <c r="G425" s="16"/>
      <c r="H425" s="16"/>
      <c r="I425" s="16"/>
      <c r="J425" s="16"/>
    </row>
    <row r="426" spans="1:10" ht="15" customHeight="1" x14ac:dyDescent="0.25">
      <c r="A426" s="88"/>
      <c r="B426" s="88"/>
      <c r="C426" s="88"/>
      <c r="D426" s="88"/>
      <c r="E426" s="88"/>
      <c r="F426" s="88"/>
      <c r="G426" s="88"/>
      <c r="H426" s="88"/>
      <c r="I426" s="88"/>
      <c r="J426" s="88"/>
    </row>
    <row r="427" spans="1:10" ht="19.5" customHeight="1" thickBot="1" x14ac:dyDescent="0.35">
      <c r="A427" s="142" t="s">
        <v>13</v>
      </c>
      <c r="B427" s="142"/>
      <c r="C427" s="142"/>
      <c r="D427" s="142"/>
      <c r="E427" s="142"/>
      <c r="F427" s="142"/>
      <c r="G427" s="142"/>
      <c r="H427" s="142"/>
      <c r="I427" s="142"/>
      <c r="J427" s="142"/>
    </row>
    <row r="428" spans="1:10" ht="15" customHeight="1" thickTop="1" x14ac:dyDescent="0.25">
      <c r="A428" s="23" t="s">
        <v>4</v>
      </c>
      <c r="B428" s="176" t="s">
        <v>5</v>
      </c>
      <c r="C428" s="176"/>
      <c r="D428" s="176"/>
      <c r="E428" s="24" t="s">
        <v>9</v>
      </c>
      <c r="F428" s="24" t="s">
        <v>8</v>
      </c>
      <c r="G428" s="176" t="s">
        <v>15</v>
      </c>
      <c r="H428" s="176"/>
      <c r="I428" s="176" t="s">
        <v>14</v>
      </c>
      <c r="J428" s="177"/>
    </row>
    <row r="429" spans="1:10" ht="15" customHeight="1" x14ac:dyDescent="0.25">
      <c r="A429" s="270">
        <v>1</v>
      </c>
      <c r="B429" s="162" t="s">
        <v>16</v>
      </c>
      <c r="C429" s="162"/>
      <c r="D429" s="162"/>
      <c r="E429" s="271">
        <f>A23</f>
        <v>15.12</v>
      </c>
      <c r="F429" s="272" t="s">
        <v>17</v>
      </c>
      <c r="G429" s="273">
        <v>39850</v>
      </c>
      <c r="H429" s="273"/>
      <c r="I429" s="274">
        <f>G429*E429</f>
        <v>602532</v>
      </c>
      <c r="J429" s="275"/>
    </row>
    <row r="430" spans="1:10" ht="15" customHeight="1" x14ac:dyDescent="0.25">
      <c r="A430" s="270"/>
      <c r="B430" s="162"/>
      <c r="C430" s="162"/>
      <c r="D430" s="162"/>
      <c r="E430" s="271"/>
      <c r="F430" s="272"/>
      <c r="G430" s="273"/>
      <c r="H430" s="273"/>
      <c r="I430" s="274"/>
      <c r="J430" s="275"/>
    </row>
    <row r="431" spans="1:10" ht="15" customHeight="1" x14ac:dyDescent="0.25">
      <c r="A431" s="270">
        <v>2</v>
      </c>
      <c r="B431" s="162" t="s">
        <v>893</v>
      </c>
      <c r="C431" s="162"/>
      <c r="D431" s="162"/>
      <c r="E431" s="272"/>
      <c r="F431" s="272"/>
      <c r="G431" s="272"/>
      <c r="H431" s="272"/>
      <c r="I431" s="274">
        <f>I429*6%</f>
        <v>36151.919999999998</v>
      </c>
      <c r="J431" s="275"/>
    </row>
    <row r="432" spans="1:10" ht="15" customHeight="1" x14ac:dyDescent="0.25">
      <c r="A432" s="270"/>
      <c r="B432" s="162"/>
      <c r="C432" s="162"/>
      <c r="D432" s="162"/>
      <c r="E432" s="272"/>
      <c r="F432" s="272"/>
      <c r="G432" s="272"/>
      <c r="H432" s="272"/>
      <c r="I432" s="274"/>
      <c r="J432" s="275"/>
    </row>
    <row r="433" spans="1:12" ht="15" customHeight="1" x14ac:dyDescent="0.25">
      <c r="A433" s="280"/>
      <c r="B433" s="281"/>
      <c r="C433" s="281"/>
      <c r="D433" s="281"/>
      <c r="E433" s="276" t="s">
        <v>205</v>
      </c>
      <c r="F433" s="276"/>
      <c r="G433" s="276"/>
      <c r="H433" s="277"/>
      <c r="I433" s="284">
        <f>I429+I431</f>
        <v>638683.92000000004</v>
      </c>
      <c r="J433" s="285"/>
      <c r="K433" s="151">
        <f>AG35</f>
        <v>681528.18920000002</v>
      </c>
      <c r="L433" s="152"/>
    </row>
    <row r="434" spans="1:12" ht="15" customHeight="1" x14ac:dyDescent="0.25">
      <c r="A434" s="282"/>
      <c r="B434" s="283"/>
      <c r="C434" s="283"/>
      <c r="D434" s="283"/>
      <c r="E434" s="278"/>
      <c r="F434" s="278"/>
      <c r="G434" s="278"/>
      <c r="H434" s="279"/>
      <c r="I434" s="286"/>
      <c r="J434" s="287"/>
      <c r="K434" s="153"/>
      <c r="L434" s="154"/>
    </row>
    <row r="435" spans="1:12" ht="19.5" customHeight="1" thickBot="1" x14ac:dyDescent="0.35">
      <c r="A435" s="142" t="s">
        <v>198</v>
      </c>
      <c r="B435" s="142"/>
      <c r="C435" s="142"/>
      <c r="D435" s="142"/>
      <c r="E435" s="142"/>
      <c r="F435" s="142"/>
      <c r="G435" s="142"/>
      <c r="H435" s="142"/>
      <c r="I435" s="142"/>
      <c r="J435" s="142"/>
    </row>
    <row r="436" spans="1:12" ht="15" customHeight="1" thickTop="1" x14ac:dyDescent="0.25">
      <c r="A436" s="166" t="s">
        <v>198</v>
      </c>
      <c r="B436" s="166"/>
      <c r="C436" s="166" t="s">
        <v>199</v>
      </c>
      <c r="D436" s="166"/>
      <c r="E436" s="166" t="s">
        <v>200</v>
      </c>
      <c r="F436" s="166"/>
      <c r="G436" s="166" t="s">
        <v>201</v>
      </c>
      <c r="H436" s="166"/>
      <c r="I436" s="166" t="s">
        <v>14</v>
      </c>
      <c r="J436" s="166"/>
    </row>
    <row r="437" spans="1:12" ht="15" customHeight="1" x14ac:dyDescent="0.25">
      <c r="A437" s="166"/>
      <c r="B437" s="166"/>
      <c r="C437" s="166"/>
      <c r="D437" s="166"/>
      <c r="E437" s="166"/>
      <c r="F437" s="166"/>
      <c r="G437" s="166"/>
      <c r="H437" s="166"/>
      <c r="I437" s="166"/>
      <c r="J437" s="166"/>
    </row>
    <row r="438" spans="1:12" ht="15" customHeight="1" x14ac:dyDescent="0.25">
      <c r="A438" s="173" t="s">
        <v>183</v>
      </c>
      <c r="B438" s="173"/>
      <c r="C438" s="261" t="s">
        <v>188</v>
      </c>
      <c r="D438" s="261"/>
      <c r="E438" s="175">
        <v>0.1</v>
      </c>
      <c r="F438" s="175"/>
      <c r="G438" s="261" t="s">
        <v>193</v>
      </c>
      <c r="H438" s="261"/>
      <c r="I438" s="174">
        <f>I433*E438</f>
        <v>63868.392000000007</v>
      </c>
      <c r="J438" s="174"/>
    </row>
    <row r="439" spans="1:12" ht="15" customHeight="1" x14ac:dyDescent="0.25">
      <c r="A439" s="173"/>
      <c r="B439" s="173"/>
      <c r="C439" s="261"/>
      <c r="D439" s="261"/>
      <c r="E439" s="175"/>
      <c r="F439" s="175"/>
      <c r="G439" s="261"/>
      <c r="H439" s="261"/>
      <c r="I439" s="174"/>
      <c r="J439" s="174"/>
    </row>
    <row r="440" spans="1:12" ht="15" customHeight="1" x14ac:dyDescent="0.25">
      <c r="A440" s="173"/>
      <c r="B440" s="173"/>
      <c r="C440" s="261"/>
      <c r="D440" s="261"/>
      <c r="E440" s="175"/>
      <c r="F440" s="175"/>
      <c r="G440" s="261"/>
      <c r="H440" s="261"/>
      <c r="I440" s="174"/>
      <c r="J440" s="174"/>
    </row>
    <row r="441" spans="1:12" ht="15" customHeight="1" x14ac:dyDescent="0.25">
      <c r="A441" s="173" t="s">
        <v>184</v>
      </c>
      <c r="B441" s="173"/>
      <c r="C441" s="261" t="s">
        <v>189</v>
      </c>
      <c r="D441" s="261"/>
      <c r="E441" s="175">
        <v>0.3</v>
      </c>
      <c r="F441" s="175"/>
      <c r="G441" s="261" t="s">
        <v>195</v>
      </c>
      <c r="H441" s="261"/>
      <c r="I441" s="174">
        <f>I433*E441</f>
        <v>191605.17600000001</v>
      </c>
      <c r="J441" s="174"/>
    </row>
    <row r="442" spans="1:12" ht="15" customHeight="1" x14ac:dyDescent="0.25">
      <c r="A442" s="173"/>
      <c r="B442" s="173"/>
      <c r="C442" s="261"/>
      <c r="D442" s="261"/>
      <c r="E442" s="175"/>
      <c r="F442" s="175"/>
      <c r="G442" s="261"/>
      <c r="H442" s="261"/>
      <c r="I442" s="174"/>
      <c r="J442" s="174"/>
    </row>
    <row r="443" spans="1:12" ht="15" customHeight="1" x14ac:dyDescent="0.25">
      <c r="A443" s="173"/>
      <c r="B443" s="173"/>
      <c r="C443" s="261"/>
      <c r="D443" s="261"/>
      <c r="E443" s="175"/>
      <c r="F443" s="175"/>
      <c r="G443" s="261"/>
      <c r="H443" s="261"/>
      <c r="I443" s="174"/>
      <c r="J443" s="174"/>
    </row>
    <row r="444" spans="1:12" ht="15" customHeight="1" x14ac:dyDescent="0.25">
      <c r="A444" s="173" t="s">
        <v>185</v>
      </c>
      <c r="B444" s="173"/>
      <c r="C444" s="261" t="s">
        <v>190</v>
      </c>
      <c r="D444" s="261"/>
      <c r="E444" s="175">
        <v>0.3</v>
      </c>
      <c r="F444" s="175"/>
      <c r="G444" s="261" t="s">
        <v>194</v>
      </c>
      <c r="H444" s="261"/>
      <c r="I444" s="174">
        <f>I433*E444</f>
        <v>191605.17600000001</v>
      </c>
      <c r="J444" s="174"/>
    </row>
    <row r="445" spans="1:12" ht="15" customHeight="1" x14ac:dyDescent="0.25">
      <c r="A445" s="173"/>
      <c r="B445" s="173"/>
      <c r="C445" s="261"/>
      <c r="D445" s="261"/>
      <c r="E445" s="175"/>
      <c r="F445" s="175"/>
      <c r="G445" s="261"/>
      <c r="H445" s="261"/>
      <c r="I445" s="174"/>
      <c r="J445" s="174"/>
    </row>
    <row r="446" spans="1:12" ht="15" customHeight="1" x14ac:dyDescent="0.25">
      <c r="A446" s="173"/>
      <c r="B446" s="173"/>
      <c r="C446" s="261"/>
      <c r="D446" s="261"/>
      <c r="E446" s="175"/>
      <c r="F446" s="175"/>
      <c r="G446" s="261"/>
      <c r="H446" s="261"/>
      <c r="I446" s="174"/>
      <c r="J446" s="174"/>
    </row>
    <row r="447" spans="1:12" ht="15" customHeight="1" x14ac:dyDescent="0.25">
      <c r="A447" s="173" t="s">
        <v>186</v>
      </c>
      <c r="B447" s="173"/>
      <c r="C447" s="261" t="s">
        <v>191</v>
      </c>
      <c r="D447" s="261"/>
      <c r="E447" s="175">
        <v>0.2</v>
      </c>
      <c r="F447" s="175"/>
      <c r="G447" s="261" t="s">
        <v>196</v>
      </c>
      <c r="H447" s="261"/>
      <c r="I447" s="174">
        <f>I433*E447</f>
        <v>127736.78400000001</v>
      </c>
      <c r="J447" s="174"/>
    </row>
    <row r="448" spans="1:12" ht="15" customHeight="1" x14ac:dyDescent="0.25">
      <c r="A448" s="173"/>
      <c r="B448" s="173"/>
      <c r="C448" s="261"/>
      <c r="D448" s="261"/>
      <c r="E448" s="175"/>
      <c r="F448" s="175"/>
      <c r="G448" s="261"/>
      <c r="H448" s="261"/>
      <c r="I448" s="174"/>
      <c r="J448" s="174"/>
    </row>
    <row r="449" spans="1:11 16290:16290" ht="15" customHeight="1" x14ac:dyDescent="0.25">
      <c r="A449" s="173"/>
      <c r="B449" s="173"/>
      <c r="C449" s="261"/>
      <c r="D449" s="261"/>
      <c r="E449" s="175"/>
      <c r="F449" s="175"/>
      <c r="G449" s="261"/>
      <c r="H449" s="261"/>
      <c r="I449" s="174"/>
      <c r="J449" s="174"/>
    </row>
    <row r="450" spans="1:11 16290:16290" ht="15" customHeight="1" x14ac:dyDescent="0.25">
      <c r="A450" s="173" t="s">
        <v>187</v>
      </c>
      <c r="B450" s="173"/>
      <c r="C450" s="261" t="s">
        <v>192</v>
      </c>
      <c r="D450" s="261"/>
      <c r="E450" s="175">
        <v>0.1</v>
      </c>
      <c r="F450" s="175"/>
      <c r="G450" s="261" t="s">
        <v>197</v>
      </c>
      <c r="H450" s="261"/>
      <c r="I450" s="174">
        <f>I433*E450</f>
        <v>63868.392000000007</v>
      </c>
      <c r="J450" s="174"/>
    </row>
    <row r="451" spans="1:11 16290:16290" ht="15" customHeight="1" x14ac:dyDescent="0.25">
      <c r="A451" s="173"/>
      <c r="B451" s="173"/>
      <c r="C451" s="261"/>
      <c r="D451" s="261"/>
      <c r="E451" s="175"/>
      <c r="F451" s="175"/>
      <c r="G451" s="261"/>
      <c r="H451" s="261"/>
      <c r="I451" s="174"/>
      <c r="J451" s="174"/>
    </row>
    <row r="452" spans="1:11 16290:16290" ht="15" customHeight="1" x14ac:dyDescent="0.25">
      <c r="A452" s="173"/>
      <c r="B452" s="173"/>
      <c r="C452" s="261"/>
      <c r="D452" s="261"/>
      <c r="E452" s="175"/>
      <c r="F452" s="175"/>
      <c r="G452" s="261"/>
      <c r="H452" s="261"/>
      <c r="I452" s="174"/>
      <c r="J452" s="174"/>
    </row>
    <row r="453" spans="1:11 16290:16290" ht="15" customHeight="1" x14ac:dyDescent="0.25">
      <c r="A453" s="301" t="s">
        <v>95</v>
      </c>
      <c r="B453" s="301"/>
      <c r="C453" s="301"/>
      <c r="D453" s="301"/>
      <c r="E453" s="301"/>
      <c r="F453" s="301"/>
      <c r="G453" s="301"/>
      <c r="H453" s="301"/>
      <c r="I453" s="260">
        <f>SUM(I438:J452)</f>
        <v>638683.92000000004</v>
      </c>
      <c r="J453" s="260"/>
    </row>
    <row r="454" spans="1:11 16290:16290" ht="15" customHeight="1" x14ac:dyDescent="0.25">
      <c r="A454" s="301"/>
      <c r="B454" s="301"/>
      <c r="C454" s="301"/>
      <c r="D454" s="301"/>
      <c r="E454" s="301"/>
      <c r="F454" s="301"/>
      <c r="G454" s="301"/>
      <c r="H454" s="301"/>
      <c r="I454" s="260"/>
      <c r="J454" s="260"/>
    </row>
    <row r="455" spans="1:11 16290:16290" ht="21.95" customHeight="1" x14ac:dyDescent="0.25">
      <c r="A455" s="259" t="s">
        <v>18</v>
      </c>
      <c r="B455" s="259"/>
      <c r="C455" s="259"/>
      <c r="D455" s="259"/>
      <c r="E455" s="259"/>
      <c r="F455" s="259"/>
      <c r="G455" s="259"/>
      <c r="H455" s="259"/>
      <c r="I455" s="260">
        <v>0</v>
      </c>
      <c r="J455" s="260"/>
    </row>
    <row r="456" spans="1:11 16290:16290" ht="21.95" customHeight="1" x14ac:dyDescent="0.25">
      <c r="A456" s="259" t="s">
        <v>375</v>
      </c>
      <c r="B456" s="259"/>
      <c r="C456" s="259"/>
      <c r="D456" s="259"/>
      <c r="E456" s="259"/>
      <c r="F456" s="259"/>
      <c r="G456" s="259"/>
      <c r="H456" s="259"/>
      <c r="I456" s="260">
        <f>E429*1600+(12000)</f>
        <v>36192</v>
      </c>
      <c r="J456" s="260"/>
      <c r="K456">
        <f>E429*1600+(12000)</f>
        <v>36192</v>
      </c>
    </row>
    <row r="457" spans="1:11 16290:16290" ht="21.95" customHeight="1" x14ac:dyDescent="0.25">
      <c r="A457" s="267" t="s">
        <v>655</v>
      </c>
      <c r="B457" s="268"/>
      <c r="C457" s="268"/>
      <c r="D457" s="268"/>
      <c r="E457" s="268"/>
      <c r="F457" s="268"/>
      <c r="G457" s="268"/>
      <c r="H457" s="269"/>
      <c r="I457" s="260">
        <v>0</v>
      </c>
      <c r="J457" s="260"/>
    </row>
    <row r="458" spans="1:11 16290:16290" ht="21.95" customHeight="1" x14ac:dyDescent="0.25">
      <c r="A458" s="263"/>
      <c r="B458" s="264"/>
      <c r="C458" s="264"/>
      <c r="D458" s="264"/>
      <c r="E458" s="264"/>
      <c r="F458" s="31"/>
      <c r="G458" s="265" t="s">
        <v>202</v>
      </c>
      <c r="H458" s="266"/>
      <c r="I458" s="262">
        <f>I453+I455+I456+I457</f>
        <v>674875.92</v>
      </c>
      <c r="J458" s="262"/>
    </row>
    <row r="459" spans="1:11 16290:16290" ht="19.5" customHeight="1" thickBot="1" x14ac:dyDescent="0.35">
      <c r="A459" s="142" t="s">
        <v>19</v>
      </c>
      <c r="B459" s="142"/>
      <c r="C459" s="142"/>
      <c r="D459" s="142"/>
      <c r="E459" s="142"/>
      <c r="F459" s="142" t="s">
        <v>20</v>
      </c>
      <c r="G459" s="142"/>
      <c r="H459" s="142"/>
      <c r="I459" s="142"/>
      <c r="J459" s="142"/>
    </row>
    <row r="460" spans="1:11 16290:16290" ht="6.95" customHeight="1" thickTop="1" x14ac:dyDescent="0.25">
      <c r="A460" s="299"/>
      <c r="B460" s="299"/>
      <c r="C460" s="7"/>
      <c r="D460" s="7"/>
      <c r="E460" s="5"/>
    </row>
    <row r="461" spans="1:11 16290:16290" ht="15" customHeight="1" x14ac:dyDescent="0.25">
      <c r="A461" s="255" t="s">
        <v>26</v>
      </c>
      <c r="B461" s="255"/>
      <c r="C461" s="255" t="s">
        <v>27</v>
      </c>
      <c r="D461" s="255"/>
      <c r="E461" s="256"/>
      <c r="F461" s="257" t="s">
        <v>32</v>
      </c>
      <c r="G461" s="258"/>
      <c r="H461" s="258"/>
      <c r="I461" s="258"/>
      <c r="J461" s="258"/>
    </row>
    <row r="462" spans="1:11 16290:16290" ht="6.95" customHeight="1" x14ac:dyDescent="0.25">
      <c r="A462" s="255"/>
      <c r="B462" s="255"/>
      <c r="C462" s="255"/>
      <c r="D462" s="255"/>
      <c r="E462" s="256"/>
      <c r="F462" s="257"/>
      <c r="G462" s="258"/>
      <c r="H462" s="258"/>
      <c r="I462" s="258"/>
      <c r="J462" s="258"/>
    </row>
    <row r="463" spans="1:11 16290:16290" ht="15" customHeight="1" x14ac:dyDescent="0.25">
      <c r="A463" s="255" t="s">
        <v>25</v>
      </c>
      <c r="B463" s="255"/>
      <c r="C463" s="255" t="s">
        <v>670</v>
      </c>
      <c r="D463" s="255"/>
      <c r="E463" s="256"/>
      <c r="F463" s="257" t="s">
        <v>104</v>
      </c>
      <c r="G463" s="258"/>
      <c r="H463" s="258"/>
      <c r="I463" s="258"/>
      <c r="J463" s="258"/>
    </row>
    <row r="464" spans="1:11 16290:16290" ht="6.95" customHeight="1" x14ac:dyDescent="0.25">
      <c r="A464" s="255"/>
      <c r="B464" s="255"/>
      <c r="C464" s="255"/>
      <c r="D464" s="255"/>
      <c r="E464" s="256"/>
      <c r="F464" s="257"/>
      <c r="G464" s="258"/>
      <c r="H464" s="258"/>
      <c r="I464" s="258"/>
      <c r="J464" s="258"/>
      <c r="XBN464" s="30">
        <f>SUM(I464:XBM464)</f>
        <v>0</v>
      </c>
    </row>
    <row r="465" spans="1:10" ht="15" customHeight="1" x14ac:dyDescent="0.25">
      <c r="A465" s="255" t="s">
        <v>24</v>
      </c>
      <c r="B465" s="255"/>
      <c r="C465" s="302" t="s">
        <v>28</v>
      </c>
      <c r="D465" s="302"/>
      <c r="E465" s="303"/>
      <c r="F465" s="257" t="s">
        <v>150</v>
      </c>
      <c r="G465" s="258"/>
      <c r="H465" s="258"/>
      <c r="I465" s="258"/>
      <c r="J465" s="258"/>
    </row>
    <row r="466" spans="1:10" ht="6.95" customHeight="1" x14ac:dyDescent="0.25">
      <c r="A466" s="255"/>
      <c r="B466" s="255"/>
      <c r="C466" s="255"/>
      <c r="D466" s="255"/>
      <c r="E466" s="256"/>
      <c r="F466" s="257"/>
      <c r="G466" s="258"/>
      <c r="H466" s="258"/>
      <c r="I466" s="258"/>
      <c r="J466" s="258"/>
    </row>
    <row r="467" spans="1:10" ht="15" customHeight="1" x14ac:dyDescent="0.25">
      <c r="A467" s="255" t="s">
        <v>23</v>
      </c>
      <c r="B467" s="255"/>
      <c r="C467" s="255" t="s">
        <v>29</v>
      </c>
      <c r="D467" s="255"/>
      <c r="E467" s="256"/>
      <c r="F467" s="257" t="s">
        <v>149</v>
      </c>
      <c r="G467" s="258"/>
      <c r="H467" s="258"/>
      <c r="I467" s="258"/>
      <c r="J467" s="258"/>
    </row>
    <row r="468" spans="1:10" ht="6.95" customHeight="1" x14ac:dyDescent="0.25">
      <c r="A468" s="255"/>
      <c r="B468" s="255"/>
      <c r="C468" s="255"/>
      <c r="D468" s="255"/>
      <c r="E468" s="256"/>
      <c r="F468" s="257"/>
      <c r="G468" s="258"/>
      <c r="H468" s="258"/>
      <c r="I468" s="258"/>
      <c r="J468" s="258"/>
    </row>
    <row r="469" spans="1:10" ht="15" customHeight="1" x14ac:dyDescent="0.25">
      <c r="A469" s="255" t="s">
        <v>22</v>
      </c>
      <c r="B469" s="255"/>
      <c r="C469" s="255" t="s">
        <v>30</v>
      </c>
      <c r="D469" s="255"/>
      <c r="E469" s="256"/>
      <c r="F469" s="257" t="s">
        <v>151</v>
      </c>
      <c r="G469" s="258"/>
      <c r="H469" s="258"/>
      <c r="I469" s="258"/>
      <c r="J469" s="258"/>
    </row>
    <row r="470" spans="1:10" ht="6.95" customHeight="1" x14ac:dyDescent="0.25">
      <c r="A470" s="255"/>
      <c r="B470" s="255"/>
      <c r="C470" s="255"/>
      <c r="D470" s="255"/>
      <c r="E470" s="256"/>
      <c r="F470" s="257"/>
      <c r="G470" s="258"/>
      <c r="H470" s="258"/>
      <c r="I470" s="258"/>
      <c r="J470" s="258"/>
    </row>
    <row r="471" spans="1:10" ht="15" customHeight="1" x14ac:dyDescent="0.25">
      <c r="A471" s="255" t="s">
        <v>21</v>
      </c>
      <c r="B471" s="255"/>
      <c r="C471" s="255" t="s">
        <v>31</v>
      </c>
      <c r="D471" s="255"/>
      <c r="E471" s="256"/>
      <c r="F471" s="257" t="s">
        <v>152</v>
      </c>
      <c r="G471" s="258"/>
      <c r="H471" s="258"/>
      <c r="I471" s="258"/>
      <c r="J471" s="258"/>
    </row>
    <row r="472" spans="1:10" ht="6.95" customHeight="1" x14ac:dyDescent="0.25">
      <c r="F472" s="257"/>
      <c r="G472" s="258"/>
      <c r="H472" s="258"/>
      <c r="I472" s="258"/>
      <c r="J472" s="258"/>
    </row>
    <row r="473" spans="1:10" ht="15" customHeight="1" x14ac:dyDescent="0.25">
      <c r="F473" s="257" t="s">
        <v>140</v>
      </c>
      <c r="G473" s="258"/>
      <c r="H473" s="258"/>
      <c r="I473" s="258"/>
      <c r="J473" s="258"/>
    </row>
    <row r="474" spans="1:10" ht="6.95" customHeight="1" x14ac:dyDescent="0.25">
      <c r="F474" s="257"/>
      <c r="G474" s="258"/>
      <c r="H474" s="258"/>
      <c r="I474" s="258"/>
      <c r="J474" s="258"/>
    </row>
    <row r="475" spans="1:10" ht="15" customHeight="1" x14ac:dyDescent="0.25">
      <c r="F475" s="257" t="s">
        <v>668</v>
      </c>
      <c r="G475" s="258"/>
      <c r="H475" s="258"/>
      <c r="I475" s="258"/>
      <c r="J475" s="258"/>
    </row>
    <row r="476" spans="1:10" ht="19.5" customHeight="1" thickBot="1" x14ac:dyDescent="0.35">
      <c r="A476" s="142" t="s">
        <v>34</v>
      </c>
      <c r="B476" s="142"/>
      <c r="C476" s="142"/>
      <c r="D476" s="142"/>
      <c r="E476" s="142"/>
      <c r="F476" s="142"/>
      <c r="G476" s="142"/>
      <c r="H476" s="142"/>
      <c r="I476" s="142"/>
      <c r="J476" s="142"/>
    </row>
    <row r="477" spans="1:10" ht="6.95" customHeight="1" thickTop="1" x14ac:dyDescent="0.25"/>
    <row r="478" spans="1:10" ht="15" customHeight="1" x14ac:dyDescent="0.25">
      <c r="A478" s="249" t="s">
        <v>35</v>
      </c>
      <c r="B478" s="249"/>
      <c r="C478" s="249"/>
      <c r="D478" s="87">
        <f>E429</f>
        <v>15.12</v>
      </c>
      <c r="E478" s="4" t="s">
        <v>67</v>
      </c>
      <c r="F478" s="254"/>
      <c r="G478" s="254"/>
      <c r="H478" s="18"/>
      <c r="I478" s="248"/>
      <c r="J478" s="248"/>
    </row>
    <row r="479" spans="1:10" ht="6.95" customHeight="1" x14ac:dyDescent="0.25">
      <c r="A479" s="248"/>
      <c r="B479" s="248"/>
      <c r="C479" s="248"/>
    </row>
    <row r="480" spans="1:10" ht="15" customHeight="1" x14ac:dyDescent="0.25">
      <c r="A480" s="249" t="s">
        <v>98</v>
      </c>
      <c r="B480" s="249"/>
      <c r="C480" s="249"/>
      <c r="D480" s="4" t="str">
        <f>CONCATENATE(D478*5, ,DATA!N12)</f>
        <v>75.6Unit</v>
      </c>
      <c r="E480" s="8"/>
      <c r="F480" s="249" t="s">
        <v>36</v>
      </c>
      <c r="G480" s="249"/>
      <c r="H480" s="250" t="str">
        <f>CONCATENATE(DATA!L15,  ,DATA!N13)</f>
        <v>202705Rupees</v>
      </c>
      <c r="I480" s="250"/>
      <c r="J480" s="8"/>
    </row>
    <row r="481" spans="1:10" ht="6.95" customHeight="1" x14ac:dyDescent="0.25">
      <c r="A481" s="248"/>
      <c r="B481" s="248"/>
      <c r="C481" s="248"/>
    </row>
    <row r="482" spans="1:10" ht="15" customHeight="1" x14ac:dyDescent="0.25">
      <c r="A482" s="251" t="s">
        <v>37</v>
      </c>
      <c r="B482" s="251"/>
      <c r="C482" s="251"/>
      <c r="D482" s="249" t="str">
        <f>CONCATENATE(DATA!K15,  ,DATA!N9)</f>
        <v>25339Kwh</v>
      </c>
      <c r="E482" s="249"/>
      <c r="F482" s="249" t="s">
        <v>38</v>
      </c>
      <c r="G482" s="249"/>
      <c r="H482" s="249" t="str">
        <f>CONCATENATE(DATA!L15*25,   ,DATA!N13)</f>
        <v>5067625Rupees</v>
      </c>
      <c r="I482" s="249"/>
      <c r="J482" s="4"/>
    </row>
    <row r="483" spans="1:10" ht="15" customHeight="1" x14ac:dyDescent="0.25">
      <c r="A483" s="214" t="s">
        <v>663</v>
      </c>
      <c r="B483" s="215"/>
      <c r="C483" s="215"/>
      <c r="D483" s="215"/>
      <c r="E483" s="216"/>
      <c r="F483" s="214" t="s">
        <v>664</v>
      </c>
      <c r="G483" s="215"/>
      <c r="H483" s="215"/>
      <c r="I483" s="215"/>
      <c r="J483" s="216"/>
    </row>
    <row r="484" spans="1:10" ht="15" customHeight="1" x14ac:dyDescent="0.25">
      <c r="E484" s="32"/>
    </row>
    <row r="485" spans="1:10" ht="15" customHeight="1" x14ac:dyDescent="0.25">
      <c r="E485" s="32"/>
    </row>
    <row r="486" spans="1:10" ht="15" customHeight="1" x14ac:dyDescent="0.25">
      <c r="E486" s="32"/>
    </row>
    <row r="487" spans="1:10" ht="15" customHeight="1" x14ac:dyDescent="0.25">
      <c r="E487" s="32"/>
    </row>
    <row r="488" spans="1:10" ht="15" customHeight="1" x14ac:dyDescent="0.25">
      <c r="E488" s="32"/>
    </row>
    <row r="489" spans="1:10" ht="15" customHeight="1" x14ac:dyDescent="0.25">
      <c r="E489" s="32"/>
    </row>
    <row r="490" spans="1:10" ht="15" customHeight="1" x14ac:dyDescent="0.25">
      <c r="E490" s="32"/>
    </row>
    <row r="491" spans="1:10" ht="15" customHeight="1" x14ac:dyDescent="0.25">
      <c r="E491" s="32"/>
    </row>
    <row r="492" spans="1:10" ht="15" customHeight="1" x14ac:dyDescent="0.25">
      <c r="E492" s="32"/>
    </row>
    <row r="493" spans="1:10" ht="15" customHeight="1" x14ac:dyDescent="0.25">
      <c r="E493" s="32"/>
    </row>
    <row r="494" spans="1:10" ht="15" customHeight="1" x14ac:dyDescent="0.25">
      <c r="E494" s="32"/>
    </row>
    <row r="495" spans="1:10" ht="15" customHeight="1" x14ac:dyDescent="0.25">
      <c r="E495" s="32"/>
    </row>
    <row r="496" spans="1:10" ht="15" customHeight="1" x14ac:dyDescent="0.25">
      <c r="A496" s="246" t="s">
        <v>39</v>
      </c>
      <c r="B496" s="247" t="s">
        <v>665</v>
      </c>
      <c r="C496" s="247"/>
      <c r="D496" s="247"/>
      <c r="E496" s="247"/>
      <c r="F496" s="247"/>
      <c r="G496" s="247"/>
      <c r="H496" s="247"/>
      <c r="I496" s="247"/>
      <c r="J496" s="247"/>
    </row>
    <row r="497" spans="1:10" ht="15" customHeight="1" x14ac:dyDescent="0.25">
      <c r="A497" s="246"/>
      <c r="B497" s="247"/>
      <c r="C497" s="247"/>
      <c r="D497" s="247"/>
      <c r="E497" s="247"/>
      <c r="F497" s="247"/>
      <c r="G497" s="247"/>
      <c r="H497" s="247"/>
      <c r="I497" s="247"/>
      <c r="J497" s="247"/>
    </row>
    <row r="499" spans="1:10" ht="19.5" customHeight="1" thickBot="1" x14ac:dyDescent="0.35">
      <c r="A499" s="142" t="s">
        <v>153</v>
      </c>
      <c r="B499" s="142"/>
      <c r="C499" s="142"/>
      <c r="D499" s="142"/>
      <c r="E499" s="142"/>
      <c r="F499" s="142"/>
      <c r="G499" s="142"/>
      <c r="H499" s="142"/>
      <c r="I499" s="142"/>
      <c r="J499" s="142"/>
    </row>
    <row r="500" spans="1:10" ht="15" customHeight="1" thickTop="1" thickBot="1" x14ac:dyDescent="0.3"/>
    <row r="501" spans="1:10" ht="15" customHeight="1" thickBot="1" x14ac:dyDescent="0.3">
      <c r="A501" s="29" t="s">
        <v>155</v>
      </c>
      <c r="B501" s="252" t="s">
        <v>154</v>
      </c>
      <c r="C501" s="253"/>
      <c r="D501" s="252" t="s">
        <v>7</v>
      </c>
      <c r="E501" s="290"/>
      <c r="F501" s="290"/>
      <c r="G501" s="290"/>
      <c r="H501" s="253"/>
      <c r="I501" s="217" t="s">
        <v>156</v>
      </c>
      <c r="J501" s="218"/>
    </row>
    <row r="502" spans="1:10" ht="15" customHeight="1" x14ac:dyDescent="0.25">
      <c r="A502" s="298" t="s">
        <v>157</v>
      </c>
      <c r="B502" s="291" t="s">
        <v>158</v>
      </c>
      <c r="C502" s="292"/>
      <c r="D502" s="293" t="s">
        <v>666</v>
      </c>
      <c r="E502" s="294"/>
      <c r="F502" s="294"/>
      <c r="G502" s="294"/>
      <c r="H502" s="295"/>
      <c r="I502" s="244" t="s">
        <v>164</v>
      </c>
      <c r="J502" s="245"/>
    </row>
    <row r="503" spans="1:10" ht="15" customHeight="1" x14ac:dyDescent="0.25">
      <c r="A503" s="220"/>
      <c r="B503" s="228"/>
      <c r="C503" s="229"/>
      <c r="D503" s="233"/>
      <c r="E503" s="234"/>
      <c r="F503" s="234"/>
      <c r="G503" s="234"/>
      <c r="H503" s="235"/>
      <c r="I503" s="158"/>
      <c r="J503" s="219"/>
    </row>
    <row r="504" spans="1:10" ht="15" customHeight="1" x14ac:dyDescent="0.25">
      <c r="A504" s="220" t="s">
        <v>159</v>
      </c>
      <c r="B504" s="224" t="s">
        <v>166</v>
      </c>
      <c r="C504" s="225"/>
      <c r="D504" s="139" t="s">
        <v>177</v>
      </c>
      <c r="E504" s="140"/>
      <c r="F504" s="140"/>
      <c r="G504" s="140"/>
      <c r="H504" s="141"/>
      <c r="I504" s="158" t="s">
        <v>165</v>
      </c>
      <c r="J504" s="219"/>
    </row>
    <row r="505" spans="1:10" ht="15" customHeight="1" x14ac:dyDescent="0.25">
      <c r="A505" s="220"/>
      <c r="B505" s="228"/>
      <c r="C505" s="229"/>
      <c r="D505" s="233"/>
      <c r="E505" s="234"/>
      <c r="F505" s="234"/>
      <c r="G505" s="234"/>
      <c r="H505" s="235"/>
      <c r="I505" s="158"/>
      <c r="J505" s="219"/>
    </row>
    <row r="506" spans="1:10" ht="15" customHeight="1" x14ac:dyDescent="0.25">
      <c r="A506" s="220" t="s">
        <v>160</v>
      </c>
      <c r="B506" s="224" t="s">
        <v>167</v>
      </c>
      <c r="C506" s="225"/>
      <c r="D506" s="139" t="s">
        <v>168</v>
      </c>
      <c r="E506" s="140"/>
      <c r="F506" s="140"/>
      <c r="G506" s="140"/>
      <c r="H506" s="141"/>
      <c r="I506" s="158" t="s">
        <v>258</v>
      </c>
      <c r="J506" s="219"/>
    </row>
    <row r="507" spans="1:10" ht="15" customHeight="1" x14ac:dyDescent="0.25">
      <c r="A507" s="220"/>
      <c r="B507" s="228"/>
      <c r="C507" s="229"/>
      <c r="D507" s="233"/>
      <c r="E507" s="234"/>
      <c r="F507" s="234"/>
      <c r="G507" s="234"/>
      <c r="H507" s="235"/>
      <c r="I507" s="158"/>
      <c r="J507" s="219"/>
    </row>
    <row r="508" spans="1:10" ht="15" customHeight="1" x14ac:dyDescent="0.25">
      <c r="A508" s="220" t="s">
        <v>161</v>
      </c>
      <c r="B508" s="224" t="s">
        <v>203</v>
      </c>
      <c r="C508" s="225"/>
      <c r="D508" s="139" t="s">
        <v>178</v>
      </c>
      <c r="E508" s="140"/>
      <c r="F508" s="140"/>
      <c r="G508" s="140"/>
      <c r="H508" s="141"/>
      <c r="I508" s="158" t="s">
        <v>170</v>
      </c>
      <c r="J508" s="219"/>
    </row>
    <row r="509" spans="1:10" ht="15" customHeight="1" x14ac:dyDescent="0.25">
      <c r="A509" s="220"/>
      <c r="B509" s="228"/>
      <c r="C509" s="229"/>
      <c r="D509" s="233"/>
      <c r="E509" s="234"/>
      <c r="F509" s="234"/>
      <c r="G509" s="234"/>
      <c r="H509" s="235"/>
      <c r="I509" s="158"/>
      <c r="J509" s="219"/>
    </row>
    <row r="510" spans="1:10" ht="15" customHeight="1" x14ac:dyDescent="0.25">
      <c r="A510" s="220" t="s">
        <v>162</v>
      </c>
      <c r="B510" s="224" t="s">
        <v>171</v>
      </c>
      <c r="C510" s="225"/>
      <c r="D510" s="139" t="s">
        <v>169</v>
      </c>
      <c r="E510" s="140"/>
      <c r="F510" s="140"/>
      <c r="G510" s="140"/>
      <c r="H510" s="141"/>
      <c r="I510" s="158" t="s">
        <v>170</v>
      </c>
      <c r="J510" s="219"/>
    </row>
    <row r="511" spans="1:10" ht="15" customHeight="1" x14ac:dyDescent="0.25">
      <c r="A511" s="220"/>
      <c r="B511" s="228"/>
      <c r="C511" s="229"/>
      <c r="D511" s="233"/>
      <c r="E511" s="234"/>
      <c r="F511" s="234"/>
      <c r="G511" s="234"/>
      <c r="H511" s="235"/>
      <c r="I511" s="158"/>
      <c r="J511" s="219"/>
    </row>
    <row r="512" spans="1:10" ht="15" customHeight="1" x14ac:dyDescent="0.25">
      <c r="A512" s="220" t="s">
        <v>163</v>
      </c>
      <c r="B512" s="224" t="s">
        <v>204</v>
      </c>
      <c r="C512" s="225"/>
      <c r="D512" s="139" t="s">
        <v>667</v>
      </c>
      <c r="E512" s="140"/>
      <c r="F512" s="140"/>
      <c r="G512" s="140"/>
      <c r="H512" s="141"/>
      <c r="I512" s="158" t="s">
        <v>170</v>
      </c>
      <c r="J512" s="219"/>
    </row>
    <row r="513" spans="1:10" ht="15" customHeight="1" x14ac:dyDescent="0.25">
      <c r="A513" s="220"/>
      <c r="B513" s="226"/>
      <c r="C513" s="227"/>
      <c r="D513" s="230"/>
      <c r="E513" s="231"/>
      <c r="F513" s="231"/>
      <c r="G513" s="231"/>
      <c r="H513" s="232"/>
      <c r="I513" s="158"/>
      <c r="J513" s="219"/>
    </row>
    <row r="514" spans="1:10" ht="15" customHeight="1" x14ac:dyDescent="0.25">
      <c r="A514" s="220"/>
      <c r="B514" s="228"/>
      <c r="C514" s="229"/>
      <c r="D514" s="233"/>
      <c r="E514" s="234"/>
      <c r="F514" s="234"/>
      <c r="G514" s="234"/>
      <c r="H514" s="235"/>
      <c r="I514" s="158"/>
      <c r="J514" s="219"/>
    </row>
    <row r="515" spans="1:10" ht="15" customHeight="1" x14ac:dyDescent="0.25">
      <c r="A515" s="220" t="s">
        <v>172</v>
      </c>
      <c r="B515" s="224" t="s">
        <v>173</v>
      </c>
      <c r="C515" s="225"/>
      <c r="D515" s="139" t="s">
        <v>673</v>
      </c>
      <c r="E515" s="140"/>
      <c r="F515" s="140"/>
      <c r="G515" s="140"/>
      <c r="H515" s="141"/>
      <c r="I515" s="158" t="s">
        <v>174</v>
      </c>
      <c r="J515" s="219"/>
    </row>
    <row r="516" spans="1:10" ht="15" customHeight="1" x14ac:dyDescent="0.25">
      <c r="A516" s="220"/>
      <c r="B516" s="226"/>
      <c r="C516" s="227"/>
      <c r="D516" s="230"/>
      <c r="E516" s="231"/>
      <c r="F516" s="231"/>
      <c r="G516" s="231"/>
      <c r="H516" s="232"/>
      <c r="I516" s="158"/>
      <c r="J516" s="219"/>
    </row>
    <row r="517" spans="1:10" ht="15" customHeight="1" x14ac:dyDescent="0.25">
      <c r="A517" s="220"/>
      <c r="B517" s="228"/>
      <c r="C517" s="229"/>
      <c r="D517" s="233"/>
      <c r="E517" s="234"/>
      <c r="F517" s="234"/>
      <c r="G517" s="234"/>
      <c r="H517" s="235"/>
      <c r="I517" s="158"/>
      <c r="J517" s="219"/>
    </row>
    <row r="518" spans="1:10" ht="15" customHeight="1" x14ac:dyDescent="0.25">
      <c r="A518" s="220" t="s">
        <v>175</v>
      </c>
      <c r="B518" s="224" t="s">
        <v>179</v>
      </c>
      <c r="C518" s="225"/>
      <c r="D518" s="139" t="s">
        <v>180</v>
      </c>
      <c r="E518" s="140"/>
      <c r="F518" s="140"/>
      <c r="G518" s="140"/>
      <c r="H518" s="141"/>
      <c r="I518" s="158" t="s">
        <v>164</v>
      </c>
      <c r="J518" s="219"/>
    </row>
    <row r="519" spans="1:10" ht="15" customHeight="1" x14ac:dyDescent="0.25">
      <c r="A519" s="220"/>
      <c r="B519" s="228"/>
      <c r="C519" s="229"/>
      <c r="D519" s="233"/>
      <c r="E519" s="234"/>
      <c r="F519" s="234"/>
      <c r="G519" s="234"/>
      <c r="H519" s="235"/>
      <c r="I519" s="158"/>
      <c r="J519" s="219"/>
    </row>
    <row r="520" spans="1:10" ht="15" customHeight="1" x14ac:dyDescent="0.25">
      <c r="A520" s="220" t="s">
        <v>176</v>
      </c>
      <c r="B520" s="224" t="s">
        <v>181</v>
      </c>
      <c r="C520" s="225"/>
      <c r="D520" s="139" t="s">
        <v>182</v>
      </c>
      <c r="E520" s="140"/>
      <c r="F520" s="140"/>
      <c r="G520" s="140"/>
      <c r="H520" s="141"/>
      <c r="I520" s="158" t="s">
        <v>164</v>
      </c>
      <c r="J520" s="219"/>
    </row>
    <row r="521" spans="1:10" ht="15" customHeight="1" thickBot="1" x14ac:dyDescent="0.3">
      <c r="A521" s="221"/>
      <c r="B521" s="236"/>
      <c r="C521" s="237"/>
      <c r="D521" s="238"/>
      <c r="E521" s="239"/>
      <c r="F521" s="239"/>
      <c r="G521" s="239"/>
      <c r="H521" s="240"/>
      <c r="I521" s="222"/>
      <c r="J521" s="223"/>
    </row>
    <row r="522" spans="1:10" ht="15" customHeight="1" x14ac:dyDescent="0.25">
      <c r="A522" s="288" t="s">
        <v>39</v>
      </c>
      <c r="B522" s="296" t="s">
        <v>639</v>
      </c>
      <c r="C522" s="296"/>
      <c r="D522" s="296"/>
      <c r="E522" s="296"/>
      <c r="F522" s="296"/>
      <c r="G522" s="296"/>
      <c r="H522" s="296"/>
      <c r="I522" s="296"/>
      <c r="J522" s="296"/>
    </row>
    <row r="523" spans="1:10" ht="15" customHeight="1" x14ac:dyDescent="0.25">
      <c r="A523" s="289"/>
      <c r="B523" s="297"/>
      <c r="C523" s="297"/>
      <c r="D523" s="297"/>
      <c r="E523" s="297"/>
      <c r="F523" s="297"/>
      <c r="G523" s="297"/>
      <c r="H523" s="297"/>
      <c r="I523" s="297"/>
      <c r="J523" s="297"/>
    </row>
    <row r="524" spans="1:10" ht="15" customHeight="1" x14ac:dyDescent="0.25">
      <c r="A524" s="289"/>
      <c r="B524" s="297"/>
      <c r="C524" s="297"/>
      <c r="D524" s="297"/>
      <c r="E524" s="297"/>
      <c r="F524" s="297"/>
      <c r="G524" s="297"/>
      <c r="H524" s="297"/>
      <c r="I524" s="297"/>
      <c r="J524" s="297"/>
    </row>
    <row r="525" spans="1:10" ht="6.95" customHeight="1" x14ac:dyDescent="0.25">
      <c r="A525" s="119"/>
      <c r="B525" s="120"/>
      <c r="C525" s="120"/>
      <c r="D525" s="120"/>
      <c r="E525" s="120"/>
      <c r="F525" s="120"/>
      <c r="G525" s="120"/>
      <c r="H525" s="120"/>
      <c r="I525" s="120"/>
      <c r="J525" s="120"/>
    </row>
    <row r="526" spans="1:10" ht="20.100000000000001" customHeight="1" thickBot="1" x14ac:dyDescent="0.35">
      <c r="A526" s="142" t="s">
        <v>868</v>
      </c>
      <c r="B526" s="142"/>
      <c r="C526" s="142"/>
      <c r="D526" s="142"/>
      <c r="E526" s="142"/>
      <c r="F526" s="142"/>
      <c r="G526" s="142"/>
      <c r="H526" s="142"/>
      <c r="I526" s="142"/>
      <c r="J526" s="142"/>
    </row>
    <row r="527" spans="1:10" ht="6.95" customHeight="1" thickTop="1" x14ac:dyDescent="0.25">
      <c r="A527" s="327"/>
      <c r="B527" s="327"/>
      <c r="C527" s="327"/>
      <c r="D527" s="327"/>
      <c r="E527" s="327"/>
      <c r="F527" s="327"/>
      <c r="G527" s="327"/>
      <c r="H527" s="327"/>
      <c r="I527" s="327"/>
      <c r="J527" s="327"/>
    </row>
    <row r="528" spans="1:10" ht="30" customHeight="1" x14ac:dyDescent="0.25">
      <c r="A528" s="324" t="s">
        <v>548</v>
      </c>
      <c r="B528" s="324"/>
      <c r="C528" s="324"/>
      <c r="D528" s="324" t="s">
        <v>8</v>
      </c>
      <c r="E528" s="324"/>
      <c r="F528" s="324" t="s">
        <v>845</v>
      </c>
      <c r="G528" s="324"/>
      <c r="H528" s="324" t="s">
        <v>846</v>
      </c>
      <c r="I528" s="324"/>
      <c r="J528" s="324"/>
    </row>
    <row r="529" spans="1:10" ht="30" customHeight="1" x14ac:dyDescent="0.25">
      <c r="A529" s="272" t="s">
        <v>847</v>
      </c>
      <c r="B529" s="272"/>
      <c r="C529" s="272"/>
      <c r="D529" s="161" t="s">
        <v>854</v>
      </c>
      <c r="E529" s="161"/>
      <c r="F529" s="325">
        <f>A23</f>
        <v>15.12</v>
      </c>
      <c r="G529" s="161"/>
      <c r="H529" s="326" t="s">
        <v>859</v>
      </c>
      <c r="I529" s="326"/>
      <c r="J529" s="326"/>
    </row>
    <row r="530" spans="1:10" ht="30" customHeight="1" x14ac:dyDescent="0.25">
      <c r="A530" s="272" t="s">
        <v>848</v>
      </c>
      <c r="B530" s="272"/>
      <c r="C530" s="272"/>
      <c r="D530" s="161" t="s">
        <v>855</v>
      </c>
      <c r="E530" s="161"/>
      <c r="F530" s="328">
        <f>I433</f>
        <v>638683.92000000004</v>
      </c>
      <c r="G530" s="328"/>
      <c r="H530" s="326" t="s">
        <v>860</v>
      </c>
      <c r="I530" s="326"/>
      <c r="J530" s="326"/>
    </row>
    <row r="531" spans="1:10" ht="30" customHeight="1" x14ac:dyDescent="0.25">
      <c r="A531" s="272" t="s">
        <v>849</v>
      </c>
      <c r="B531" s="272"/>
      <c r="C531" s="272"/>
      <c r="D531" s="161" t="s">
        <v>882</v>
      </c>
      <c r="E531" s="161"/>
      <c r="F531" s="272">
        <f>H119</f>
        <v>4</v>
      </c>
      <c r="G531" s="272"/>
      <c r="H531" s="326" t="s">
        <v>861</v>
      </c>
      <c r="I531" s="326"/>
      <c r="J531" s="326"/>
    </row>
    <row r="532" spans="1:10" ht="24.95" customHeight="1" x14ac:dyDescent="0.25">
      <c r="A532" s="263" t="s">
        <v>896</v>
      </c>
      <c r="B532" s="264"/>
      <c r="C532" s="329"/>
      <c r="D532" s="330" t="s">
        <v>897</v>
      </c>
      <c r="E532" s="331"/>
      <c r="F532" s="263">
        <v>30</v>
      </c>
      <c r="G532" s="329"/>
      <c r="H532" s="332" t="s">
        <v>898</v>
      </c>
      <c r="I532" s="131"/>
      <c r="J532" s="132"/>
    </row>
    <row r="533" spans="1:10" ht="30" customHeight="1" x14ac:dyDescent="0.25">
      <c r="A533" s="272" t="s">
        <v>850</v>
      </c>
      <c r="B533" s="272"/>
      <c r="C533" s="272"/>
      <c r="D533" s="161" t="s">
        <v>883</v>
      </c>
      <c r="E533" s="161"/>
      <c r="F533" s="328">
        <v>8</v>
      </c>
      <c r="G533" s="328"/>
      <c r="H533" s="326" t="s">
        <v>862</v>
      </c>
      <c r="I533" s="326"/>
      <c r="J533" s="326"/>
    </row>
    <row r="534" spans="1:10" ht="30" customHeight="1" x14ac:dyDescent="0.25">
      <c r="A534" s="272" t="s">
        <v>851</v>
      </c>
      <c r="B534" s="272"/>
      <c r="C534" s="272"/>
      <c r="D534" s="161" t="s">
        <v>856</v>
      </c>
      <c r="E534" s="161"/>
      <c r="F534" s="161">
        <v>3</v>
      </c>
      <c r="G534" s="161"/>
      <c r="H534" s="326" t="s">
        <v>863</v>
      </c>
      <c r="I534" s="326"/>
      <c r="J534" s="326"/>
    </row>
    <row r="535" spans="1:10" ht="30" customHeight="1" x14ac:dyDescent="0.25">
      <c r="A535" s="272" t="s">
        <v>878</v>
      </c>
      <c r="B535" s="272"/>
      <c r="C535" s="272"/>
      <c r="D535" s="161" t="s">
        <v>856</v>
      </c>
      <c r="E535" s="161"/>
      <c r="F535" s="161">
        <v>2</v>
      </c>
      <c r="G535" s="161"/>
      <c r="H535" s="162" t="s">
        <v>881</v>
      </c>
      <c r="I535" s="326"/>
      <c r="J535" s="326"/>
    </row>
    <row r="536" spans="1:10" ht="30" customHeight="1" x14ac:dyDescent="0.25">
      <c r="A536" s="272" t="s">
        <v>877</v>
      </c>
      <c r="B536" s="272"/>
      <c r="C536" s="272"/>
      <c r="D536" s="161" t="s">
        <v>856</v>
      </c>
      <c r="E536" s="161"/>
      <c r="F536" s="161">
        <v>0.5</v>
      </c>
      <c r="G536" s="161"/>
      <c r="H536" s="162" t="s">
        <v>881</v>
      </c>
      <c r="I536" s="326"/>
      <c r="J536" s="326"/>
    </row>
    <row r="537" spans="1:10" ht="30" customHeight="1" x14ac:dyDescent="0.25">
      <c r="A537" s="272" t="s">
        <v>852</v>
      </c>
      <c r="B537" s="272"/>
      <c r="C537" s="272"/>
      <c r="D537" s="161" t="s">
        <v>855</v>
      </c>
      <c r="E537" s="161"/>
      <c r="F537" s="328">
        <f>F530*1%</f>
        <v>6386.8392000000003</v>
      </c>
      <c r="G537" s="328"/>
      <c r="H537" s="326" t="s">
        <v>864</v>
      </c>
      <c r="I537" s="326"/>
      <c r="J537" s="326"/>
    </row>
    <row r="538" spans="1:10" ht="30" customHeight="1" x14ac:dyDescent="0.25">
      <c r="A538" s="272" t="s">
        <v>853</v>
      </c>
      <c r="B538" s="272"/>
      <c r="C538" s="272"/>
      <c r="D538" s="161" t="s">
        <v>856</v>
      </c>
      <c r="E538" s="161"/>
      <c r="F538" s="161">
        <v>3</v>
      </c>
      <c r="G538" s="161"/>
      <c r="H538" s="326" t="s">
        <v>865</v>
      </c>
      <c r="I538" s="326"/>
      <c r="J538" s="326"/>
    </row>
    <row r="539" spans="1:10" ht="30" customHeight="1" x14ac:dyDescent="0.25">
      <c r="A539" s="272" t="s">
        <v>858</v>
      </c>
      <c r="B539" s="272"/>
      <c r="C539" s="272"/>
      <c r="D539" s="161" t="s">
        <v>857</v>
      </c>
      <c r="E539" s="161"/>
      <c r="F539" s="161">
        <v>30</v>
      </c>
      <c r="G539" s="161"/>
      <c r="H539" s="326" t="s">
        <v>866</v>
      </c>
      <c r="I539" s="326"/>
      <c r="J539" s="326"/>
    </row>
    <row r="540" spans="1:10" ht="6.95" customHeight="1" x14ac:dyDescent="0.25">
      <c r="A540" s="129"/>
      <c r="B540" s="129"/>
      <c r="C540" s="129"/>
      <c r="D540" s="129"/>
      <c r="E540" s="129"/>
      <c r="F540" s="129"/>
      <c r="G540" s="129"/>
      <c r="H540" s="129"/>
      <c r="I540" s="129"/>
      <c r="J540" s="129"/>
    </row>
    <row r="541" spans="1:10" ht="20.100000000000001" customHeight="1" thickBot="1" x14ac:dyDescent="0.35">
      <c r="A541" s="142" t="s">
        <v>867</v>
      </c>
      <c r="B541" s="142"/>
      <c r="C541" s="142"/>
      <c r="D541" s="142"/>
      <c r="E541" s="142"/>
      <c r="F541" s="142"/>
      <c r="G541" s="142"/>
      <c r="H541" s="142"/>
      <c r="I541" s="142"/>
      <c r="J541" s="142"/>
    </row>
    <row r="542" spans="1:10" ht="6.95" customHeight="1" thickTop="1" x14ac:dyDescent="0.25">
      <c r="A542" s="128"/>
      <c r="B542" s="128"/>
      <c r="C542" s="128"/>
      <c r="D542" s="128"/>
      <c r="E542" s="128"/>
      <c r="F542" s="128"/>
      <c r="G542" s="128"/>
      <c r="H542" s="128"/>
      <c r="I542" s="128"/>
      <c r="J542" s="128"/>
    </row>
    <row r="543" spans="1:10" ht="45" customHeight="1" x14ac:dyDescent="0.25">
      <c r="A543" s="123" t="s">
        <v>869</v>
      </c>
      <c r="B543" s="123" t="s">
        <v>870</v>
      </c>
      <c r="C543" s="123" t="s">
        <v>871</v>
      </c>
      <c r="D543" s="333" t="s">
        <v>872</v>
      </c>
      <c r="E543" s="333"/>
      <c r="F543" s="123" t="s">
        <v>873</v>
      </c>
      <c r="G543" s="333" t="s">
        <v>874</v>
      </c>
      <c r="H543" s="333"/>
      <c r="I543" s="123" t="s">
        <v>875</v>
      </c>
      <c r="J543" s="123" t="s">
        <v>876</v>
      </c>
    </row>
    <row r="544" spans="1:10" ht="24" customHeight="1" x14ac:dyDescent="0.25">
      <c r="A544" s="124">
        <v>1</v>
      </c>
      <c r="B544" s="127">
        <f>F529*F531*(365-F532)</f>
        <v>20260.8</v>
      </c>
      <c r="C544" s="125">
        <f>F533</f>
        <v>8</v>
      </c>
      <c r="D544" s="133">
        <f>B544*C544</f>
        <v>162086.39999999999</v>
      </c>
      <c r="E544" s="133"/>
      <c r="F544" s="125">
        <f>F537</f>
        <v>6386.8392000000003</v>
      </c>
      <c r="G544" s="133">
        <f>D544-F544</f>
        <v>155699.56080000001</v>
      </c>
      <c r="H544" s="133"/>
      <c r="I544" s="126">
        <f>G544</f>
        <v>155699.56080000001</v>
      </c>
      <c r="J544" s="126" t="str">
        <f>IF(I544&gt;=$I$433,"yes","no")</f>
        <v>no</v>
      </c>
    </row>
    <row r="545" spans="1:10" ht="24" customHeight="1" x14ac:dyDescent="0.25">
      <c r="A545" s="124">
        <v>2</v>
      </c>
      <c r="B545" s="127">
        <f>B544*(1-$F$535%)</f>
        <v>19855.583999999999</v>
      </c>
      <c r="C545" s="125">
        <f t="shared" ref="C545:C573" si="0">C544*(1+$F$534%)</f>
        <v>8.24</v>
      </c>
      <c r="D545" s="133">
        <f t="shared" ref="D545:D568" si="1">B545*C545</f>
        <v>163610.01215999998</v>
      </c>
      <c r="E545" s="133"/>
      <c r="F545" s="125">
        <f t="shared" ref="F545:F573" si="2">F544*(1+$F$538%)</f>
        <v>6578.4443760000004</v>
      </c>
      <c r="G545" s="133">
        <f t="shared" ref="G545:G568" si="3">D545-F545</f>
        <v>157031.56778399998</v>
      </c>
      <c r="H545" s="133"/>
      <c r="I545" s="126">
        <f>I544+G545</f>
        <v>312731.12858399999</v>
      </c>
      <c r="J545" s="126" t="str">
        <f t="shared" ref="J545:J573" si="4">IF(I545&gt;=$I$433,"yes","no")</f>
        <v>no</v>
      </c>
    </row>
    <row r="546" spans="1:10" ht="24" customHeight="1" x14ac:dyDescent="0.25">
      <c r="A546" s="124">
        <v>3</v>
      </c>
      <c r="B546" s="127">
        <f t="shared" ref="B546:B573" si="5">B545*(1-$F$536%)</f>
        <v>19756.306079999998</v>
      </c>
      <c r="C546" s="125">
        <f t="shared" si="0"/>
        <v>8.4871999999999996</v>
      </c>
      <c r="D546" s="133">
        <f t="shared" si="1"/>
        <v>167675.72096217598</v>
      </c>
      <c r="E546" s="133"/>
      <c r="F546" s="125">
        <f t="shared" si="2"/>
        <v>6775.7977072800004</v>
      </c>
      <c r="G546" s="133">
        <f t="shared" si="3"/>
        <v>160899.92325489598</v>
      </c>
      <c r="H546" s="133"/>
      <c r="I546" s="126">
        <f t="shared" ref="I546:I568" si="6">I545+G546</f>
        <v>473631.051838896</v>
      </c>
      <c r="J546" s="126" t="str">
        <f t="shared" si="4"/>
        <v>no</v>
      </c>
    </row>
    <row r="547" spans="1:10" ht="24" customHeight="1" x14ac:dyDescent="0.25">
      <c r="A547" s="124">
        <v>4</v>
      </c>
      <c r="B547" s="127">
        <f t="shared" si="5"/>
        <v>19657.524549599999</v>
      </c>
      <c r="C547" s="125">
        <f t="shared" si="0"/>
        <v>8.741816</v>
      </c>
      <c r="D547" s="133">
        <f t="shared" si="1"/>
        <v>171842.46262808607</v>
      </c>
      <c r="E547" s="133"/>
      <c r="F547" s="125">
        <f t="shared" si="2"/>
        <v>6979.0716384984007</v>
      </c>
      <c r="G547" s="133">
        <f t="shared" si="3"/>
        <v>164863.39098958767</v>
      </c>
      <c r="H547" s="133"/>
      <c r="I547" s="126">
        <f t="shared" si="6"/>
        <v>638494.44282848365</v>
      </c>
      <c r="J547" s="126" t="str">
        <f t="shared" si="4"/>
        <v>no</v>
      </c>
    </row>
    <row r="548" spans="1:10" ht="24" customHeight="1" x14ac:dyDescent="0.25">
      <c r="A548" s="124">
        <v>5</v>
      </c>
      <c r="B548" s="127">
        <f t="shared" si="5"/>
        <v>19559.236926851998</v>
      </c>
      <c r="C548" s="125">
        <f t="shared" si="0"/>
        <v>9.0040704800000011</v>
      </c>
      <c r="D548" s="133">
        <f t="shared" si="1"/>
        <v>176112.74782439403</v>
      </c>
      <c r="E548" s="133"/>
      <c r="F548" s="125">
        <f t="shared" si="2"/>
        <v>7188.443787653353</v>
      </c>
      <c r="G548" s="133">
        <f t="shared" si="3"/>
        <v>168924.30403674068</v>
      </c>
      <c r="H548" s="133"/>
      <c r="I548" s="126">
        <f t="shared" si="6"/>
        <v>807418.74686522433</v>
      </c>
      <c r="J548" s="126" t="str">
        <f t="shared" si="4"/>
        <v>yes</v>
      </c>
    </row>
    <row r="549" spans="1:10" ht="24" customHeight="1" x14ac:dyDescent="0.25">
      <c r="A549" s="124">
        <v>6</v>
      </c>
      <c r="B549" s="127">
        <f t="shared" si="5"/>
        <v>19461.440742217739</v>
      </c>
      <c r="C549" s="125">
        <f t="shared" si="0"/>
        <v>9.2741925944000005</v>
      </c>
      <c r="D549" s="133">
        <f t="shared" si="1"/>
        <v>180489.14960783022</v>
      </c>
      <c r="E549" s="133"/>
      <c r="F549" s="125">
        <f t="shared" si="2"/>
        <v>7404.0971012829541</v>
      </c>
      <c r="G549" s="133">
        <f t="shared" si="3"/>
        <v>173085.05250654725</v>
      </c>
      <c r="H549" s="133"/>
      <c r="I549" s="126">
        <f t="shared" si="6"/>
        <v>980503.79937177151</v>
      </c>
      <c r="J549" s="126" t="str">
        <f t="shared" si="4"/>
        <v>yes</v>
      </c>
    </row>
    <row r="550" spans="1:10" ht="24" customHeight="1" x14ac:dyDescent="0.25">
      <c r="A550" s="124">
        <v>7</v>
      </c>
      <c r="B550" s="127">
        <f t="shared" si="5"/>
        <v>19364.133538506649</v>
      </c>
      <c r="C550" s="125">
        <f t="shared" si="0"/>
        <v>9.5524183722320011</v>
      </c>
      <c r="D550" s="133">
        <f t="shared" si="1"/>
        <v>184974.30497558479</v>
      </c>
      <c r="E550" s="133"/>
      <c r="F550" s="125">
        <f t="shared" si="2"/>
        <v>7626.2200143214432</v>
      </c>
      <c r="G550" s="133">
        <f t="shared" si="3"/>
        <v>177348.08496126335</v>
      </c>
      <c r="H550" s="133"/>
      <c r="I550" s="126">
        <f t="shared" si="6"/>
        <v>1157851.884333035</v>
      </c>
      <c r="J550" s="126" t="str">
        <f t="shared" si="4"/>
        <v>yes</v>
      </c>
    </row>
    <row r="551" spans="1:10" ht="24" customHeight="1" x14ac:dyDescent="0.25">
      <c r="A551" s="124">
        <v>8</v>
      </c>
      <c r="B551" s="127">
        <f t="shared" si="5"/>
        <v>19267.312870814116</v>
      </c>
      <c r="C551" s="125">
        <f t="shared" si="0"/>
        <v>9.8389909233989616</v>
      </c>
      <c r="D551" s="133">
        <f t="shared" si="1"/>
        <v>189570.91645422808</v>
      </c>
      <c r="E551" s="133"/>
      <c r="F551" s="125">
        <f t="shared" si="2"/>
        <v>7855.006614751087</v>
      </c>
      <c r="G551" s="133">
        <f t="shared" si="3"/>
        <v>181715.90983947698</v>
      </c>
      <c r="H551" s="133"/>
      <c r="I551" s="126">
        <f t="shared" si="6"/>
        <v>1339567.7941725119</v>
      </c>
      <c r="J551" s="126" t="str">
        <f t="shared" si="4"/>
        <v>yes</v>
      </c>
    </row>
    <row r="552" spans="1:10" ht="24" customHeight="1" x14ac:dyDescent="0.25">
      <c r="A552" s="124">
        <v>9</v>
      </c>
      <c r="B552" s="127">
        <f t="shared" si="5"/>
        <v>19170.976306460045</v>
      </c>
      <c r="C552" s="125">
        <f t="shared" si="0"/>
        <v>10.134160651100931</v>
      </c>
      <c r="D552" s="133">
        <f t="shared" si="1"/>
        <v>194281.75372811564</v>
      </c>
      <c r="E552" s="133"/>
      <c r="F552" s="125">
        <f t="shared" si="2"/>
        <v>8090.6568131936201</v>
      </c>
      <c r="G552" s="133">
        <f t="shared" si="3"/>
        <v>186191.09691492203</v>
      </c>
      <c r="H552" s="133"/>
      <c r="I552" s="126">
        <f t="shared" si="6"/>
        <v>1525758.891087434</v>
      </c>
      <c r="J552" s="126" t="str">
        <f t="shared" si="4"/>
        <v>yes</v>
      </c>
    </row>
    <row r="553" spans="1:10" ht="24" customHeight="1" x14ac:dyDescent="0.25">
      <c r="A553" s="124">
        <v>10</v>
      </c>
      <c r="B553" s="127">
        <f t="shared" si="5"/>
        <v>19075.121424927744</v>
      </c>
      <c r="C553" s="125">
        <f t="shared" si="0"/>
        <v>10.438185470633959</v>
      </c>
      <c r="D553" s="133">
        <f t="shared" si="1"/>
        <v>199109.65530825933</v>
      </c>
      <c r="E553" s="133"/>
      <c r="F553" s="125">
        <f t="shared" si="2"/>
        <v>8333.3765175894296</v>
      </c>
      <c r="G553" s="133">
        <f t="shared" si="3"/>
        <v>190776.27879066989</v>
      </c>
      <c r="H553" s="133"/>
      <c r="I553" s="126">
        <f t="shared" si="6"/>
        <v>1716535.169878104</v>
      </c>
      <c r="J553" s="126" t="str">
        <f t="shared" si="4"/>
        <v>yes</v>
      </c>
    </row>
    <row r="554" spans="1:10" ht="24" customHeight="1" x14ac:dyDescent="0.25">
      <c r="A554" s="124">
        <v>11</v>
      </c>
      <c r="B554" s="127">
        <f t="shared" si="5"/>
        <v>18979.745817803105</v>
      </c>
      <c r="C554" s="125">
        <f t="shared" si="0"/>
        <v>10.751331034752978</v>
      </c>
      <c r="D554" s="133">
        <f t="shared" si="1"/>
        <v>204057.53024266957</v>
      </c>
      <c r="E554" s="133"/>
      <c r="F554" s="125">
        <f t="shared" si="2"/>
        <v>8583.377813117113</v>
      </c>
      <c r="G554" s="133">
        <f t="shared" si="3"/>
        <v>195474.15242955246</v>
      </c>
      <c r="H554" s="133"/>
      <c r="I554" s="126">
        <f t="shared" si="6"/>
        <v>1912009.3223076565</v>
      </c>
      <c r="J554" s="126" t="str">
        <f t="shared" si="4"/>
        <v>yes</v>
      </c>
    </row>
    <row r="555" spans="1:10" ht="24" customHeight="1" x14ac:dyDescent="0.25">
      <c r="A555" s="124">
        <v>12</v>
      </c>
      <c r="B555" s="127">
        <f t="shared" si="5"/>
        <v>18884.84708871409</v>
      </c>
      <c r="C555" s="125">
        <f t="shared" si="0"/>
        <v>11.073870965795567</v>
      </c>
      <c r="D555" s="133">
        <f t="shared" si="1"/>
        <v>209128.35986919992</v>
      </c>
      <c r="E555" s="133"/>
      <c r="F555" s="125">
        <f t="shared" si="2"/>
        <v>8840.8791475106264</v>
      </c>
      <c r="G555" s="133">
        <f t="shared" si="3"/>
        <v>200287.4807216893</v>
      </c>
      <c r="H555" s="133"/>
      <c r="I555" s="126">
        <f t="shared" si="6"/>
        <v>2112296.8030293458</v>
      </c>
      <c r="J555" s="126" t="str">
        <f t="shared" si="4"/>
        <v>yes</v>
      </c>
    </row>
    <row r="556" spans="1:10" ht="24" customHeight="1" x14ac:dyDescent="0.25">
      <c r="A556" s="124">
        <v>13</v>
      </c>
      <c r="B556" s="127">
        <f t="shared" si="5"/>
        <v>18790.42285327052</v>
      </c>
      <c r="C556" s="125">
        <f t="shared" si="0"/>
        <v>11.406087094769434</v>
      </c>
      <c r="D556" s="133">
        <f t="shared" si="1"/>
        <v>214325.19961194953</v>
      </c>
      <c r="E556" s="133"/>
      <c r="F556" s="125">
        <f t="shared" si="2"/>
        <v>9106.1055219359459</v>
      </c>
      <c r="G556" s="133">
        <f t="shared" si="3"/>
        <v>205219.09409001359</v>
      </c>
      <c r="H556" s="133"/>
      <c r="I556" s="126">
        <f t="shared" si="6"/>
        <v>2317515.8971193596</v>
      </c>
      <c r="J556" s="126" t="str">
        <f t="shared" si="4"/>
        <v>yes</v>
      </c>
    </row>
    <row r="557" spans="1:10" ht="24" customHeight="1" x14ac:dyDescent="0.25">
      <c r="A557" s="124">
        <v>14</v>
      </c>
      <c r="B557" s="127">
        <f t="shared" si="5"/>
        <v>18696.470739004166</v>
      </c>
      <c r="C557" s="125">
        <f t="shared" si="0"/>
        <v>11.748269707612518</v>
      </c>
      <c r="D557" s="133">
        <f t="shared" si="1"/>
        <v>219651.18082230649</v>
      </c>
      <c r="E557" s="133"/>
      <c r="F557" s="125">
        <f t="shared" si="2"/>
        <v>9379.2886875940239</v>
      </c>
      <c r="G557" s="133">
        <f t="shared" si="3"/>
        <v>210271.89213471246</v>
      </c>
      <c r="H557" s="133"/>
      <c r="I557" s="126">
        <f t="shared" si="6"/>
        <v>2527787.7892540721</v>
      </c>
      <c r="J557" s="126" t="str">
        <f t="shared" si="4"/>
        <v>yes</v>
      </c>
    </row>
    <row r="558" spans="1:10" ht="24" customHeight="1" x14ac:dyDescent="0.25">
      <c r="A558" s="124">
        <v>15</v>
      </c>
      <c r="B558" s="127">
        <f t="shared" si="5"/>
        <v>18602.988385309145</v>
      </c>
      <c r="C558" s="125">
        <f t="shared" si="0"/>
        <v>12.100717798840895</v>
      </c>
      <c r="D558" s="133">
        <f t="shared" si="1"/>
        <v>225109.51266574083</v>
      </c>
      <c r="E558" s="133"/>
      <c r="F558" s="125">
        <f t="shared" si="2"/>
        <v>9660.6673482218448</v>
      </c>
      <c r="G558" s="133">
        <f t="shared" si="3"/>
        <v>215448.84531751898</v>
      </c>
      <c r="H558" s="133"/>
      <c r="I558" s="126">
        <f t="shared" si="6"/>
        <v>2743236.6345715909</v>
      </c>
      <c r="J558" s="126" t="str">
        <f t="shared" si="4"/>
        <v>yes</v>
      </c>
    </row>
    <row r="559" spans="1:10" ht="24" customHeight="1" x14ac:dyDescent="0.25">
      <c r="A559" s="124">
        <v>16</v>
      </c>
      <c r="B559" s="127">
        <f t="shared" si="5"/>
        <v>18509.973443382598</v>
      </c>
      <c r="C559" s="125">
        <f t="shared" si="0"/>
        <v>12.463739332806123</v>
      </c>
      <c r="D559" s="133">
        <f t="shared" si="1"/>
        <v>230703.48405548447</v>
      </c>
      <c r="E559" s="133"/>
      <c r="F559" s="125">
        <f t="shared" si="2"/>
        <v>9950.4873686685005</v>
      </c>
      <c r="G559" s="133">
        <f t="shared" si="3"/>
        <v>220752.99668681598</v>
      </c>
      <c r="H559" s="133"/>
      <c r="I559" s="126">
        <f t="shared" si="6"/>
        <v>2963989.6312584067</v>
      </c>
      <c r="J559" s="126" t="str">
        <f t="shared" si="4"/>
        <v>yes</v>
      </c>
    </row>
    <row r="560" spans="1:10" ht="24" customHeight="1" x14ac:dyDescent="0.25">
      <c r="A560" s="124">
        <v>17</v>
      </c>
      <c r="B560" s="127">
        <f t="shared" si="5"/>
        <v>18417.423576165686</v>
      </c>
      <c r="C560" s="125">
        <f t="shared" si="0"/>
        <v>12.837651512790307</v>
      </c>
      <c r="D560" s="133">
        <f t="shared" si="1"/>
        <v>236436.4656342633</v>
      </c>
      <c r="E560" s="133"/>
      <c r="F560" s="125">
        <f t="shared" si="2"/>
        <v>10249.001989728557</v>
      </c>
      <c r="G560" s="133">
        <f t="shared" si="3"/>
        <v>226187.46364453473</v>
      </c>
      <c r="H560" s="133"/>
      <c r="I560" s="126">
        <f t="shared" si="6"/>
        <v>3190177.0949029415</v>
      </c>
      <c r="J560" s="126" t="str">
        <f t="shared" si="4"/>
        <v>yes</v>
      </c>
    </row>
    <row r="561" spans="1:10" ht="24" customHeight="1" x14ac:dyDescent="0.25">
      <c r="A561" s="124">
        <v>18</v>
      </c>
      <c r="B561" s="127">
        <f t="shared" si="5"/>
        <v>18325.336458284855</v>
      </c>
      <c r="C561" s="125">
        <f t="shared" si="0"/>
        <v>13.222781058174016</v>
      </c>
      <c r="D561" s="133">
        <f t="shared" si="1"/>
        <v>242311.91180527469</v>
      </c>
      <c r="E561" s="133"/>
      <c r="F561" s="125">
        <f t="shared" si="2"/>
        <v>10556.472049420414</v>
      </c>
      <c r="G561" s="133">
        <f t="shared" si="3"/>
        <v>231755.43975585428</v>
      </c>
      <c r="H561" s="133"/>
      <c r="I561" s="126">
        <f t="shared" si="6"/>
        <v>3421932.5346587957</v>
      </c>
      <c r="J561" s="126" t="str">
        <f t="shared" si="4"/>
        <v>yes</v>
      </c>
    </row>
    <row r="562" spans="1:10" ht="24" customHeight="1" x14ac:dyDescent="0.25">
      <c r="A562" s="124">
        <v>19</v>
      </c>
      <c r="B562" s="127">
        <f t="shared" si="5"/>
        <v>18233.70977599343</v>
      </c>
      <c r="C562" s="125">
        <f t="shared" si="0"/>
        <v>13.619464489919237</v>
      </c>
      <c r="D562" s="133">
        <f t="shared" si="1"/>
        <v>248333.36281363576</v>
      </c>
      <c r="E562" s="133"/>
      <c r="F562" s="125">
        <f t="shared" si="2"/>
        <v>10873.166210903026</v>
      </c>
      <c r="G562" s="133">
        <f t="shared" si="3"/>
        <v>237460.19660273273</v>
      </c>
      <c r="H562" s="133"/>
      <c r="I562" s="126">
        <f t="shared" si="6"/>
        <v>3659392.7312615286</v>
      </c>
      <c r="J562" s="126" t="str">
        <f t="shared" si="4"/>
        <v>yes</v>
      </c>
    </row>
    <row r="563" spans="1:10" ht="24" customHeight="1" x14ac:dyDescent="0.25">
      <c r="A563" s="124">
        <v>20</v>
      </c>
      <c r="B563" s="127">
        <f t="shared" si="5"/>
        <v>18142.541227113463</v>
      </c>
      <c r="C563" s="125">
        <f t="shared" si="0"/>
        <v>14.028048424616815</v>
      </c>
      <c r="D563" s="133">
        <f t="shared" si="1"/>
        <v>254504.44687955463</v>
      </c>
      <c r="E563" s="133"/>
      <c r="F563" s="125">
        <f t="shared" si="2"/>
        <v>11199.361197230117</v>
      </c>
      <c r="G563" s="133">
        <f t="shared" si="3"/>
        <v>243305.08568232451</v>
      </c>
      <c r="H563" s="133"/>
      <c r="I563" s="126">
        <f t="shared" si="6"/>
        <v>3902697.8169438532</v>
      </c>
      <c r="J563" s="126" t="str">
        <f t="shared" si="4"/>
        <v>yes</v>
      </c>
    </row>
    <row r="564" spans="1:10" ht="24" customHeight="1" x14ac:dyDescent="0.25">
      <c r="A564" s="124">
        <v>21</v>
      </c>
      <c r="B564" s="127">
        <f t="shared" si="5"/>
        <v>18051.828520977895</v>
      </c>
      <c r="C564" s="125">
        <f t="shared" si="0"/>
        <v>14.44888987735532</v>
      </c>
      <c r="D564" s="133">
        <f t="shared" si="1"/>
        <v>260828.88238451158</v>
      </c>
      <c r="E564" s="133"/>
      <c r="F564" s="125">
        <f t="shared" si="2"/>
        <v>11535.342033147021</v>
      </c>
      <c r="G564" s="133">
        <f t="shared" si="3"/>
        <v>249293.54035136456</v>
      </c>
      <c r="H564" s="133"/>
      <c r="I564" s="126">
        <f t="shared" si="6"/>
        <v>4151991.3572952179</v>
      </c>
      <c r="J564" s="126" t="str">
        <f t="shared" si="4"/>
        <v>yes</v>
      </c>
    </row>
    <row r="565" spans="1:10" ht="24" customHeight="1" x14ac:dyDescent="0.25">
      <c r="A565" s="124">
        <v>22</v>
      </c>
      <c r="B565" s="127">
        <f t="shared" si="5"/>
        <v>17961.569378373006</v>
      </c>
      <c r="C565" s="125">
        <f t="shared" si="0"/>
        <v>14.882356573675981</v>
      </c>
      <c r="D565" s="133">
        <f t="shared" si="1"/>
        <v>267310.48011176672</v>
      </c>
      <c r="E565" s="133"/>
      <c r="F565" s="125">
        <f t="shared" si="2"/>
        <v>11881.402294141431</v>
      </c>
      <c r="G565" s="133">
        <f t="shared" si="3"/>
        <v>255429.07781762528</v>
      </c>
      <c r="H565" s="133"/>
      <c r="I565" s="126">
        <f t="shared" si="6"/>
        <v>4407420.4351128433</v>
      </c>
      <c r="J565" s="126" t="str">
        <f t="shared" si="4"/>
        <v>yes</v>
      </c>
    </row>
    <row r="566" spans="1:10" ht="24" customHeight="1" x14ac:dyDescent="0.25">
      <c r="A566" s="124">
        <v>23</v>
      </c>
      <c r="B566" s="127">
        <f t="shared" si="5"/>
        <v>17871.761531481141</v>
      </c>
      <c r="C566" s="125">
        <f t="shared" si="0"/>
        <v>15.328827270886261</v>
      </c>
      <c r="D566" s="133">
        <f t="shared" si="1"/>
        <v>273953.14554254414</v>
      </c>
      <c r="E566" s="133"/>
      <c r="F566" s="125">
        <f t="shared" si="2"/>
        <v>12237.844362965674</v>
      </c>
      <c r="G566" s="133">
        <f t="shared" si="3"/>
        <v>261715.30117957847</v>
      </c>
      <c r="H566" s="133"/>
      <c r="I566" s="126">
        <f t="shared" si="6"/>
        <v>4669135.7362924218</v>
      </c>
      <c r="J566" s="126" t="str">
        <f t="shared" si="4"/>
        <v>yes</v>
      </c>
    </row>
    <row r="567" spans="1:10" ht="24" customHeight="1" x14ac:dyDescent="0.25">
      <c r="A567" s="124">
        <v>24</v>
      </c>
      <c r="B567" s="127">
        <f t="shared" si="5"/>
        <v>17782.402723823736</v>
      </c>
      <c r="C567" s="125">
        <f t="shared" si="0"/>
        <v>15.78869208901285</v>
      </c>
      <c r="D567" s="133">
        <f t="shared" si="1"/>
        <v>280760.88120927638</v>
      </c>
      <c r="E567" s="133"/>
      <c r="F567" s="125">
        <f t="shared" si="2"/>
        <v>12604.979693854644</v>
      </c>
      <c r="G567" s="133">
        <f t="shared" si="3"/>
        <v>268155.90151542175</v>
      </c>
      <c r="H567" s="133"/>
      <c r="I567" s="126">
        <f t="shared" si="6"/>
        <v>4937291.6378078433</v>
      </c>
      <c r="J567" s="126" t="str">
        <f t="shared" si="4"/>
        <v>yes</v>
      </c>
    </row>
    <row r="568" spans="1:10" ht="24" customHeight="1" x14ac:dyDescent="0.25">
      <c r="A568" s="124">
        <v>25</v>
      </c>
      <c r="B568" s="127">
        <f t="shared" si="5"/>
        <v>17693.490710204616</v>
      </c>
      <c r="C568" s="125">
        <f t="shared" si="0"/>
        <v>16.262352851683236</v>
      </c>
      <c r="D568" s="133">
        <f t="shared" si="1"/>
        <v>287737.78910732688</v>
      </c>
      <c r="E568" s="133"/>
      <c r="F568" s="125">
        <f t="shared" si="2"/>
        <v>12983.129084670283</v>
      </c>
      <c r="G568" s="133">
        <f t="shared" si="3"/>
        <v>274754.66002265661</v>
      </c>
      <c r="H568" s="133"/>
      <c r="I568" s="126">
        <f t="shared" si="6"/>
        <v>5212046.2978304997</v>
      </c>
      <c r="J568" s="126" t="str">
        <f t="shared" si="4"/>
        <v>yes</v>
      </c>
    </row>
    <row r="569" spans="1:10" ht="24" customHeight="1" x14ac:dyDescent="0.25">
      <c r="A569" s="124">
        <v>26</v>
      </c>
      <c r="B569" s="127">
        <f t="shared" si="5"/>
        <v>17605.023256653592</v>
      </c>
      <c r="C569" s="125">
        <f t="shared" si="0"/>
        <v>16.750223437233732</v>
      </c>
      <c r="D569" s="133">
        <f t="shared" ref="D569:D573" si="7">B569*C569</f>
        <v>294888.07316664391</v>
      </c>
      <c r="E569" s="133"/>
      <c r="F569" s="125">
        <f t="shared" si="2"/>
        <v>13372.622957210391</v>
      </c>
      <c r="G569" s="133">
        <f t="shared" ref="G569:G573" si="8">D569-F569</f>
        <v>281515.4502094335</v>
      </c>
      <c r="H569" s="133"/>
      <c r="I569" s="126">
        <f t="shared" ref="I569:I573" si="9">I568+G569</f>
        <v>5493561.7480399329</v>
      </c>
      <c r="J569" s="126" t="str">
        <f t="shared" si="4"/>
        <v>yes</v>
      </c>
    </row>
    <row r="570" spans="1:10" ht="24" customHeight="1" x14ac:dyDescent="0.25">
      <c r="A570" s="124">
        <v>27</v>
      </c>
      <c r="B570" s="127">
        <f t="shared" si="5"/>
        <v>17516.998140370324</v>
      </c>
      <c r="C570" s="125">
        <f t="shared" si="0"/>
        <v>17.252730140350746</v>
      </c>
      <c r="D570" s="133">
        <f t="shared" si="7"/>
        <v>302216.04178483505</v>
      </c>
      <c r="E570" s="133"/>
      <c r="F570" s="125">
        <f t="shared" si="2"/>
        <v>13773.801645926704</v>
      </c>
      <c r="G570" s="133">
        <f t="shared" si="8"/>
        <v>288442.24013890832</v>
      </c>
      <c r="H570" s="133"/>
      <c r="I570" s="126">
        <f t="shared" si="9"/>
        <v>5782003.9881788408</v>
      </c>
      <c r="J570" s="126" t="str">
        <f t="shared" si="4"/>
        <v>yes</v>
      </c>
    </row>
    <row r="571" spans="1:10" ht="24" customHeight="1" x14ac:dyDescent="0.25">
      <c r="A571" s="124">
        <v>28</v>
      </c>
      <c r="B571" s="127">
        <f t="shared" si="5"/>
        <v>17429.413149668471</v>
      </c>
      <c r="C571" s="125">
        <f t="shared" si="0"/>
        <v>17.770312044561269</v>
      </c>
      <c r="D571" s="133">
        <f t="shared" si="7"/>
        <v>309726.11042318819</v>
      </c>
      <c r="E571" s="133"/>
      <c r="F571" s="125">
        <f t="shared" si="2"/>
        <v>14187.015695304504</v>
      </c>
      <c r="G571" s="133">
        <f t="shared" si="8"/>
        <v>295539.0947278837</v>
      </c>
      <c r="H571" s="133"/>
      <c r="I571" s="126">
        <f t="shared" si="9"/>
        <v>6077543.0829067249</v>
      </c>
      <c r="J571" s="126" t="str">
        <f t="shared" si="4"/>
        <v>yes</v>
      </c>
    </row>
    <row r="572" spans="1:10" ht="24" customHeight="1" x14ac:dyDescent="0.25">
      <c r="A572" s="124">
        <v>29</v>
      </c>
      <c r="B572" s="127">
        <f t="shared" si="5"/>
        <v>17342.266083920127</v>
      </c>
      <c r="C572" s="125">
        <f t="shared" si="0"/>
        <v>18.303421405898106</v>
      </c>
      <c r="D572" s="133">
        <f t="shared" si="7"/>
        <v>317422.80426720437</v>
      </c>
      <c r="E572" s="133"/>
      <c r="F572" s="125">
        <f t="shared" si="2"/>
        <v>14612.62616616364</v>
      </c>
      <c r="G572" s="133">
        <f t="shared" si="8"/>
        <v>302810.17810104071</v>
      </c>
      <c r="H572" s="133"/>
      <c r="I572" s="126">
        <f t="shared" si="9"/>
        <v>6380353.2610077653</v>
      </c>
      <c r="J572" s="126" t="str">
        <f t="shared" si="4"/>
        <v>yes</v>
      </c>
    </row>
    <row r="573" spans="1:10" ht="24" customHeight="1" x14ac:dyDescent="0.25">
      <c r="A573" s="124">
        <v>30</v>
      </c>
      <c r="B573" s="127">
        <f t="shared" si="5"/>
        <v>17255.554753500528</v>
      </c>
      <c r="C573" s="125">
        <f t="shared" si="0"/>
        <v>18.85252404807505</v>
      </c>
      <c r="D573" s="133">
        <f t="shared" si="7"/>
        <v>325310.76095324446</v>
      </c>
      <c r="E573" s="133"/>
      <c r="F573" s="125">
        <f t="shared" si="2"/>
        <v>15051.00495114855</v>
      </c>
      <c r="G573" s="133">
        <f t="shared" si="8"/>
        <v>310259.75600209594</v>
      </c>
      <c r="H573" s="133"/>
      <c r="I573" s="126">
        <f t="shared" si="9"/>
        <v>6690613.0170098608</v>
      </c>
      <c r="J573" s="126" t="str">
        <f t="shared" si="4"/>
        <v>yes</v>
      </c>
    </row>
    <row r="574" spans="1:10" ht="30" customHeight="1" thickBot="1" x14ac:dyDescent="0.3">
      <c r="A574" s="130" t="s">
        <v>879</v>
      </c>
      <c r="B574" s="130"/>
      <c r="C574" s="130"/>
      <c r="D574" s="130"/>
      <c r="E574" s="130"/>
      <c r="F574" s="130"/>
      <c r="G574" s="130"/>
      <c r="H574" s="130"/>
      <c r="I574" s="130"/>
      <c r="J574" s="130"/>
    </row>
    <row r="575" spans="1:10" ht="15" customHeight="1" thickTop="1" x14ac:dyDescent="0.25">
      <c r="A575" s="122"/>
      <c r="B575" s="122"/>
      <c r="C575" s="122"/>
      <c r="D575" s="122"/>
      <c r="E575" s="122"/>
      <c r="F575" s="122"/>
      <c r="G575" s="122"/>
      <c r="H575" s="122"/>
      <c r="I575" s="122"/>
      <c r="J575" s="122"/>
    </row>
    <row r="576" spans="1:10" ht="15" customHeight="1" x14ac:dyDescent="0.25">
      <c r="A576" s="119"/>
      <c r="B576" s="120"/>
      <c r="C576" s="120"/>
      <c r="D576" s="120"/>
      <c r="E576" s="120"/>
      <c r="F576" s="120"/>
      <c r="G576" s="120"/>
      <c r="H576" s="120"/>
      <c r="I576" s="120"/>
      <c r="J576" s="120"/>
    </row>
    <row r="577" spans="1:10" ht="15" customHeight="1" x14ac:dyDescent="0.25">
      <c r="A577" s="119"/>
      <c r="B577" s="120"/>
      <c r="C577" s="120"/>
      <c r="D577" s="120"/>
      <c r="E577" s="120"/>
      <c r="F577" s="120"/>
      <c r="G577" s="120"/>
      <c r="H577" s="120"/>
      <c r="I577" s="120"/>
      <c r="J577" s="120"/>
    </row>
    <row r="578" spans="1:10" ht="15" customHeight="1" x14ac:dyDescent="0.25">
      <c r="A578" s="119"/>
      <c r="B578" s="120"/>
      <c r="C578" s="120"/>
      <c r="D578" s="120"/>
      <c r="E578" s="120"/>
      <c r="F578" s="120"/>
      <c r="G578" s="120"/>
      <c r="H578" s="120"/>
      <c r="I578" s="120"/>
      <c r="J578" s="120"/>
    </row>
    <row r="579" spans="1:10" ht="15" customHeight="1" x14ac:dyDescent="0.25">
      <c r="A579" s="119"/>
      <c r="B579" s="120"/>
      <c r="C579" s="120"/>
      <c r="D579" s="120"/>
      <c r="E579" s="120"/>
      <c r="F579" s="120"/>
      <c r="G579" s="120"/>
      <c r="H579" s="120"/>
      <c r="I579" s="120"/>
      <c r="J579" s="120"/>
    </row>
    <row r="580" spans="1:10" ht="15" customHeight="1" x14ac:dyDescent="0.25">
      <c r="A580" s="119"/>
      <c r="B580" s="120"/>
      <c r="C580" s="120"/>
      <c r="D580" s="120"/>
      <c r="E580" s="120"/>
      <c r="F580" s="120"/>
      <c r="G580" s="120"/>
      <c r="H580" s="120"/>
      <c r="I580" s="120"/>
      <c r="J580" s="120"/>
    </row>
    <row r="581" spans="1:10" ht="15" customHeight="1" x14ac:dyDescent="0.25">
      <c r="A581" s="119"/>
      <c r="B581" s="120"/>
      <c r="C581" s="120"/>
      <c r="D581" s="120"/>
      <c r="E581" s="120"/>
      <c r="F581" s="120"/>
      <c r="G581" s="120"/>
      <c r="H581" s="120"/>
      <c r="I581" s="120"/>
      <c r="J581" s="120"/>
    </row>
    <row r="582" spans="1:10" ht="15" customHeight="1" x14ac:dyDescent="0.25">
      <c r="A582" s="119"/>
      <c r="B582" s="120"/>
      <c r="C582" s="120"/>
      <c r="D582" s="120"/>
      <c r="E582" s="120"/>
      <c r="F582" s="120"/>
      <c r="G582" s="120"/>
      <c r="H582" s="120"/>
      <c r="I582" s="120"/>
      <c r="J582" s="120"/>
    </row>
    <row r="583" spans="1:10" ht="15" customHeight="1" x14ac:dyDescent="0.25">
      <c r="A583" s="119"/>
      <c r="B583" s="120"/>
      <c r="C583" s="120"/>
      <c r="D583" s="120"/>
      <c r="E583" s="120"/>
      <c r="F583" s="120"/>
      <c r="G583" s="120"/>
      <c r="H583" s="120"/>
      <c r="I583" s="120"/>
      <c r="J583" s="120"/>
    </row>
    <row r="584" spans="1:10" ht="15" customHeight="1" x14ac:dyDescent="0.25">
      <c r="A584" s="119"/>
      <c r="B584" s="120"/>
      <c r="C584" s="120"/>
      <c r="D584" s="120"/>
      <c r="E584" s="120"/>
      <c r="F584" s="120"/>
      <c r="G584" s="120"/>
      <c r="H584" s="120"/>
      <c r="I584" s="120"/>
      <c r="J584" s="120"/>
    </row>
    <row r="585" spans="1:10" ht="15" customHeight="1" x14ac:dyDescent="0.25">
      <c r="A585" s="119"/>
      <c r="B585" s="120"/>
      <c r="C585" s="120"/>
      <c r="D585" s="120"/>
      <c r="E585" s="120"/>
      <c r="F585" s="120"/>
      <c r="G585" s="120"/>
      <c r="H585" s="120"/>
      <c r="I585" s="120"/>
      <c r="J585" s="120"/>
    </row>
    <row r="586" spans="1:10" ht="15" customHeight="1" x14ac:dyDescent="0.25">
      <c r="A586" s="119"/>
      <c r="B586" s="120"/>
      <c r="C586" s="120"/>
      <c r="D586" s="120"/>
      <c r="E586" s="120"/>
      <c r="F586" s="120"/>
      <c r="G586" s="120"/>
      <c r="H586" s="120"/>
      <c r="I586" s="120"/>
      <c r="J586" s="120"/>
    </row>
    <row r="587" spans="1:10" ht="15" customHeight="1" x14ac:dyDescent="0.25">
      <c r="A587" s="119"/>
      <c r="B587" s="120"/>
      <c r="C587" s="120"/>
      <c r="D587" s="120"/>
      <c r="E587" s="120"/>
      <c r="F587" s="120"/>
      <c r="G587" s="120"/>
      <c r="H587" s="120"/>
      <c r="I587" s="120"/>
      <c r="J587" s="120"/>
    </row>
    <row r="588" spans="1:10" ht="15" customHeight="1" x14ac:dyDescent="0.25">
      <c r="A588" s="119"/>
      <c r="B588" s="120"/>
      <c r="C588" s="120"/>
      <c r="D588" s="120"/>
      <c r="E588" s="120"/>
      <c r="F588" s="120"/>
      <c r="G588" s="120"/>
      <c r="H588" s="120"/>
      <c r="I588" s="120"/>
      <c r="J588" s="120"/>
    </row>
    <row r="589" spans="1:10" ht="15" customHeight="1" x14ac:dyDescent="0.25">
      <c r="A589" s="119"/>
      <c r="B589" s="120"/>
      <c r="C589" s="120"/>
      <c r="D589" s="120"/>
      <c r="E589" s="120"/>
      <c r="F589" s="120"/>
      <c r="G589" s="120"/>
      <c r="H589" s="120"/>
      <c r="I589" s="120"/>
      <c r="J589" s="120"/>
    </row>
    <row r="590" spans="1:10" ht="30" customHeight="1" thickBot="1" x14ac:dyDescent="0.3">
      <c r="A590" s="130" t="s">
        <v>880</v>
      </c>
      <c r="B590" s="130"/>
      <c r="C590" s="130"/>
      <c r="D590" s="130"/>
      <c r="E590" s="130"/>
      <c r="F590" s="130"/>
      <c r="G590" s="130"/>
      <c r="H590" s="130"/>
      <c r="I590" s="130"/>
      <c r="J590" s="130"/>
    </row>
    <row r="591" spans="1:10" ht="15" customHeight="1" thickTop="1" x14ac:dyDescent="0.25">
      <c r="A591" s="119"/>
      <c r="B591" s="120"/>
      <c r="C591" s="120"/>
      <c r="D591" s="120"/>
      <c r="E591" s="120"/>
      <c r="F591" s="120"/>
      <c r="G591" s="120"/>
      <c r="H591" s="120"/>
      <c r="I591" s="120"/>
      <c r="J591" s="120"/>
    </row>
    <row r="592" spans="1:10" ht="15" customHeight="1" x14ac:dyDescent="0.25">
      <c r="A592" s="119"/>
      <c r="B592" s="120"/>
      <c r="C592" s="120"/>
      <c r="D592" s="120"/>
      <c r="E592" s="120"/>
      <c r="F592" s="120"/>
      <c r="G592" s="120"/>
      <c r="H592" s="120"/>
      <c r="I592" s="120"/>
      <c r="J592" s="120"/>
    </row>
    <row r="593" spans="1:10" ht="15" customHeight="1" x14ac:dyDescent="0.25">
      <c r="A593" s="119"/>
      <c r="B593" s="120"/>
      <c r="C593" s="120"/>
      <c r="D593" s="120"/>
      <c r="E593" s="120"/>
      <c r="F593" s="120"/>
      <c r="G593" s="120"/>
      <c r="H593" s="120"/>
      <c r="I593" s="120"/>
      <c r="J593" s="120"/>
    </row>
    <row r="594" spans="1:10" ht="15" customHeight="1" x14ac:dyDescent="0.25">
      <c r="A594" s="119"/>
      <c r="B594" s="120"/>
      <c r="C594" s="120"/>
      <c r="D594" s="120"/>
      <c r="E594" s="120"/>
      <c r="F594" s="120"/>
      <c r="G594" s="120"/>
      <c r="H594" s="120"/>
      <c r="I594" s="120"/>
      <c r="J594" s="120"/>
    </row>
    <row r="595" spans="1:10" ht="15" customHeight="1" x14ac:dyDescent="0.25">
      <c r="A595" s="119"/>
      <c r="B595" s="120"/>
      <c r="C595" s="120"/>
      <c r="D595" s="120"/>
      <c r="E595" s="120"/>
      <c r="F595" s="120"/>
      <c r="G595" s="120"/>
      <c r="H595" s="120"/>
      <c r="I595" s="120"/>
      <c r="J595" s="120"/>
    </row>
    <row r="596" spans="1:10" ht="15" customHeight="1" x14ac:dyDescent="0.25">
      <c r="A596" s="119"/>
      <c r="B596" s="120"/>
      <c r="C596" s="120"/>
      <c r="D596" s="120"/>
      <c r="E596" s="120"/>
      <c r="F596" s="120"/>
      <c r="G596" s="120"/>
      <c r="H596" s="120"/>
      <c r="I596" s="120"/>
      <c r="J596" s="120"/>
    </row>
    <row r="597" spans="1:10" ht="15" customHeight="1" x14ac:dyDescent="0.25">
      <c r="A597" s="119"/>
      <c r="B597" s="120"/>
      <c r="C597" s="120"/>
      <c r="D597" s="120"/>
      <c r="E597" s="120"/>
      <c r="F597" s="120"/>
      <c r="G597" s="120"/>
      <c r="H597" s="120"/>
      <c r="I597" s="120"/>
      <c r="J597" s="120"/>
    </row>
    <row r="598" spans="1:10" ht="15" customHeight="1" x14ac:dyDescent="0.25">
      <c r="A598" s="119"/>
      <c r="B598" s="120"/>
      <c r="C598" s="120"/>
      <c r="D598" s="120"/>
      <c r="E598" s="120"/>
      <c r="F598" s="120"/>
      <c r="G598" s="120"/>
      <c r="H598" s="120"/>
      <c r="I598" s="120"/>
      <c r="J598" s="120"/>
    </row>
    <row r="599" spans="1:10" ht="15" customHeight="1" x14ac:dyDescent="0.25">
      <c r="A599" s="119"/>
      <c r="B599" s="120"/>
      <c r="C599" s="120"/>
      <c r="D599" s="120"/>
      <c r="E599" s="120"/>
      <c r="F599" s="120"/>
      <c r="G599" s="120"/>
      <c r="H599" s="120"/>
      <c r="I599" s="120"/>
      <c r="J599" s="120"/>
    </row>
    <row r="600" spans="1:10" ht="15" customHeight="1" x14ac:dyDescent="0.25">
      <c r="A600" s="119"/>
      <c r="B600" s="120"/>
      <c r="C600" s="120"/>
      <c r="D600" s="120"/>
      <c r="E600" s="120"/>
      <c r="F600" s="120"/>
      <c r="G600" s="120"/>
      <c r="H600" s="120"/>
      <c r="I600" s="120"/>
      <c r="J600" s="120"/>
    </row>
    <row r="601" spans="1:10" ht="15" customHeight="1" x14ac:dyDescent="0.25">
      <c r="A601" s="119"/>
      <c r="B601" s="120"/>
      <c r="C601" s="120"/>
      <c r="D601" s="120"/>
      <c r="E601" s="120"/>
      <c r="F601" s="120"/>
      <c r="G601" s="120"/>
      <c r="H601" s="120"/>
      <c r="I601" s="120"/>
      <c r="J601" s="120"/>
    </row>
    <row r="602" spans="1:10" ht="15" customHeight="1" x14ac:dyDescent="0.25">
      <c r="A602" s="119"/>
      <c r="B602" s="120"/>
      <c r="C602" s="120"/>
      <c r="D602" s="120"/>
      <c r="E602" s="120"/>
      <c r="F602" s="120"/>
      <c r="G602" s="120"/>
      <c r="H602" s="120"/>
      <c r="I602" s="120"/>
      <c r="J602" s="120"/>
    </row>
    <row r="603" spans="1:10" ht="15" customHeight="1" x14ac:dyDescent="0.25">
      <c r="A603" s="119"/>
      <c r="B603" s="120"/>
      <c r="C603" s="120"/>
      <c r="D603" s="120"/>
      <c r="E603" s="120"/>
      <c r="F603" s="120"/>
      <c r="G603" s="120"/>
      <c r="H603" s="120"/>
      <c r="I603" s="120"/>
      <c r="J603" s="120"/>
    </row>
    <row r="604" spans="1:10" ht="15" customHeight="1" x14ac:dyDescent="0.25">
      <c r="A604" s="119"/>
      <c r="B604" s="120"/>
      <c r="C604" s="120"/>
      <c r="D604" s="120"/>
      <c r="E604" s="120"/>
      <c r="F604" s="120"/>
      <c r="G604" s="120"/>
      <c r="H604" s="120"/>
      <c r="I604" s="120"/>
      <c r="J604" s="120"/>
    </row>
    <row r="605" spans="1:10" ht="15" customHeight="1" x14ac:dyDescent="0.25">
      <c r="A605" s="119"/>
      <c r="B605" s="120"/>
      <c r="C605" s="120"/>
      <c r="D605" s="120"/>
      <c r="E605" s="120"/>
      <c r="F605" s="120"/>
      <c r="G605" s="120"/>
      <c r="H605" s="120"/>
      <c r="I605" s="120"/>
      <c r="J605" s="120"/>
    </row>
    <row r="606" spans="1:10" ht="15" customHeight="1" x14ac:dyDescent="0.25">
      <c r="A606" s="119"/>
      <c r="B606" s="120"/>
      <c r="C606" s="120"/>
      <c r="D606" s="120"/>
      <c r="E606" s="120"/>
      <c r="F606" s="120"/>
      <c r="G606" s="120"/>
      <c r="H606" s="120"/>
      <c r="I606" s="120"/>
      <c r="J606" s="120"/>
    </row>
    <row r="607" spans="1:10" ht="15" customHeight="1" x14ac:dyDescent="0.25">
      <c r="A607" s="119"/>
      <c r="B607" s="120"/>
      <c r="C607" s="120"/>
      <c r="D607" s="120"/>
      <c r="E607" s="120"/>
      <c r="F607" s="120"/>
      <c r="G607" s="120"/>
      <c r="H607" s="120"/>
      <c r="I607" s="120"/>
      <c r="J607" s="120"/>
    </row>
    <row r="608" spans="1:10" ht="15" customHeight="1" x14ac:dyDescent="0.25">
      <c r="A608" s="119"/>
      <c r="B608" s="120"/>
      <c r="C608" s="120"/>
      <c r="D608" s="120"/>
      <c r="E608" s="120"/>
      <c r="F608" s="120"/>
      <c r="G608" s="120"/>
      <c r="H608" s="120"/>
      <c r="I608" s="120"/>
      <c r="J608" s="120"/>
    </row>
    <row r="609" spans="1:10" ht="19.5" customHeight="1" thickBot="1" x14ac:dyDescent="0.35">
      <c r="A609" s="241" t="s">
        <v>669</v>
      </c>
      <c r="B609" s="241"/>
      <c r="C609" s="241"/>
      <c r="D609" s="241"/>
      <c r="E609" s="241"/>
      <c r="F609" s="241"/>
      <c r="G609" s="241"/>
      <c r="H609" s="241"/>
      <c r="I609" s="241"/>
      <c r="J609" s="241"/>
    </row>
    <row r="610" spans="1:10" ht="15" customHeight="1" thickTop="1" x14ac:dyDescent="0.25">
      <c r="A610" s="165">
        <v>1</v>
      </c>
      <c r="B610" s="242" t="s">
        <v>689</v>
      </c>
      <c r="C610" s="242"/>
      <c r="D610" s="242"/>
      <c r="E610" s="242"/>
      <c r="F610" s="242"/>
      <c r="G610" s="242"/>
      <c r="H610" s="242"/>
      <c r="I610" s="242"/>
      <c r="J610" s="242"/>
    </row>
    <row r="611" spans="1:10" ht="15" customHeight="1" x14ac:dyDescent="0.25">
      <c r="A611" s="161"/>
      <c r="B611" s="243"/>
      <c r="C611" s="243"/>
      <c r="D611" s="243"/>
      <c r="E611" s="243"/>
      <c r="F611" s="243"/>
      <c r="G611" s="243"/>
      <c r="H611" s="243"/>
      <c r="I611" s="243"/>
      <c r="J611" s="243"/>
    </row>
    <row r="612" spans="1:10" ht="15" customHeight="1" x14ac:dyDescent="0.25">
      <c r="A612" s="161">
        <v>2</v>
      </c>
      <c r="B612" s="213" t="s">
        <v>674</v>
      </c>
      <c r="C612" s="213"/>
      <c r="D612" s="213"/>
      <c r="E612" s="213"/>
      <c r="F612" s="213"/>
      <c r="G612" s="213"/>
      <c r="H612" s="213"/>
      <c r="I612" s="213"/>
      <c r="J612" s="213"/>
    </row>
    <row r="613" spans="1:10" ht="15" customHeight="1" x14ac:dyDescent="0.25">
      <c r="A613" s="161"/>
      <c r="B613" s="213"/>
      <c r="C613" s="213"/>
      <c r="D613" s="213"/>
      <c r="E613" s="213"/>
      <c r="F613" s="213"/>
      <c r="G613" s="213"/>
      <c r="H613" s="213"/>
      <c r="I613" s="213"/>
      <c r="J613" s="213"/>
    </row>
    <row r="614" spans="1:10" ht="15" customHeight="1" x14ac:dyDescent="0.25">
      <c r="A614" s="161"/>
      <c r="B614" s="213"/>
      <c r="C614" s="213"/>
      <c r="D614" s="213"/>
      <c r="E614" s="213"/>
      <c r="F614" s="213"/>
      <c r="G614" s="213"/>
      <c r="H614" s="213"/>
      <c r="I614" s="213"/>
      <c r="J614" s="213"/>
    </row>
    <row r="615" spans="1:10" ht="15" customHeight="1" x14ac:dyDescent="0.25">
      <c r="A615" s="161"/>
      <c r="B615" s="213"/>
      <c r="C615" s="213"/>
      <c r="D615" s="213"/>
      <c r="E615" s="213"/>
      <c r="F615" s="213"/>
      <c r="G615" s="213"/>
      <c r="H615" s="213"/>
      <c r="I615" s="213"/>
      <c r="J615" s="213"/>
    </row>
    <row r="616" spans="1:10" ht="15" customHeight="1" x14ac:dyDescent="0.25">
      <c r="A616" s="161"/>
      <c r="B616" s="213"/>
      <c r="C616" s="213"/>
      <c r="D616" s="213"/>
      <c r="E616" s="213"/>
      <c r="F616" s="213"/>
      <c r="G616" s="213"/>
      <c r="H616" s="213"/>
      <c r="I616" s="213"/>
      <c r="J616" s="213"/>
    </row>
    <row r="617" spans="1:10" ht="15" customHeight="1" x14ac:dyDescent="0.25">
      <c r="A617" s="161">
        <v>3</v>
      </c>
      <c r="B617" s="213" t="s">
        <v>675</v>
      </c>
      <c r="C617" s="213"/>
      <c r="D617" s="213"/>
      <c r="E617" s="213"/>
      <c r="F617" s="213"/>
      <c r="G617" s="213"/>
      <c r="H617" s="213"/>
      <c r="I617" s="213"/>
      <c r="J617" s="213"/>
    </row>
    <row r="618" spans="1:10" ht="15" customHeight="1" x14ac:dyDescent="0.25">
      <c r="A618" s="161"/>
      <c r="B618" s="213"/>
      <c r="C618" s="213"/>
      <c r="D618" s="213"/>
      <c r="E618" s="213"/>
      <c r="F618" s="213"/>
      <c r="G618" s="213"/>
      <c r="H618" s="213"/>
      <c r="I618" s="213"/>
      <c r="J618" s="213"/>
    </row>
    <row r="619" spans="1:10" ht="15" customHeight="1" x14ac:dyDescent="0.25">
      <c r="A619" s="161"/>
      <c r="B619" s="213"/>
      <c r="C619" s="213"/>
      <c r="D619" s="213"/>
      <c r="E619" s="213"/>
      <c r="F619" s="213"/>
      <c r="G619" s="213"/>
      <c r="H619" s="213"/>
      <c r="I619" s="213"/>
      <c r="J619" s="213"/>
    </row>
    <row r="620" spans="1:10" ht="15" customHeight="1" x14ac:dyDescent="0.25">
      <c r="A620" s="161">
        <v>4</v>
      </c>
      <c r="B620" s="162" t="s">
        <v>676</v>
      </c>
      <c r="C620" s="162"/>
      <c r="D620" s="162"/>
      <c r="E620" s="162"/>
      <c r="F620" s="162"/>
      <c r="G620" s="162"/>
      <c r="H620" s="162"/>
      <c r="I620" s="162"/>
      <c r="J620" s="162"/>
    </row>
    <row r="621" spans="1:10" ht="15" customHeight="1" x14ac:dyDescent="0.25">
      <c r="A621" s="161"/>
      <c r="B621" s="162"/>
      <c r="C621" s="162"/>
      <c r="D621" s="162"/>
      <c r="E621" s="162"/>
      <c r="F621" s="162"/>
      <c r="G621" s="162"/>
      <c r="H621" s="162"/>
      <c r="I621" s="162"/>
      <c r="J621" s="162"/>
    </row>
    <row r="622" spans="1:10" ht="15" customHeight="1" x14ac:dyDescent="0.25">
      <c r="A622" s="161"/>
      <c r="B622" s="162"/>
      <c r="C622" s="162"/>
      <c r="D622" s="162"/>
      <c r="E622" s="162"/>
      <c r="F622" s="162"/>
      <c r="G622" s="162"/>
      <c r="H622" s="162"/>
      <c r="I622" s="162"/>
      <c r="J622" s="162"/>
    </row>
    <row r="623" spans="1:10" ht="15" customHeight="1" x14ac:dyDescent="0.25">
      <c r="A623" s="161">
        <v>5</v>
      </c>
      <c r="B623" s="162" t="s">
        <v>677</v>
      </c>
      <c r="C623" s="162"/>
      <c r="D623" s="162"/>
      <c r="E623" s="162"/>
      <c r="F623" s="162"/>
      <c r="G623" s="162"/>
      <c r="H623" s="162"/>
      <c r="I623" s="162"/>
      <c r="J623" s="162"/>
    </row>
    <row r="624" spans="1:10" ht="15" customHeight="1" x14ac:dyDescent="0.25">
      <c r="A624" s="161"/>
      <c r="B624" s="162"/>
      <c r="C624" s="162"/>
      <c r="D624" s="162"/>
      <c r="E624" s="162"/>
      <c r="F624" s="162"/>
      <c r="G624" s="162"/>
      <c r="H624" s="162"/>
      <c r="I624" s="162"/>
      <c r="J624" s="162"/>
    </row>
    <row r="625" spans="1:10" ht="15" customHeight="1" x14ac:dyDescent="0.25">
      <c r="A625" s="161"/>
      <c r="B625" s="162"/>
      <c r="C625" s="162"/>
      <c r="D625" s="162"/>
      <c r="E625" s="162"/>
      <c r="F625" s="162"/>
      <c r="G625" s="162"/>
      <c r="H625" s="162"/>
      <c r="I625" s="162"/>
      <c r="J625" s="162"/>
    </row>
    <row r="626" spans="1:10" ht="15" customHeight="1" x14ac:dyDescent="0.25">
      <c r="A626" s="163">
        <v>7</v>
      </c>
      <c r="B626" s="205" t="s">
        <v>678</v>
      </c>
      <c r="C626" s="206"/>
      <c r="D626" s="206"/>
      <c r="E626" s="206"/>
      <c r="F626" s="206"/>
      <c r="G626" s="206"/>
      <c r="H626" s="206"/>
      <c r="I626" s="206"/>
      <c r="J626" s="207"/>
    </row>
    <row r="627" spans="1:10" ht="15" customHeight="1" x14ac:dyDescent="0.25">
      <c r="A627" s="164"/>
      <c r="B627" s="208"/>
      <c r="C627" s="147"/>
      <c r="D627" s="147"/>
      <c r="E627" s="147"/>
      <c r="F627" s="147"/>
      <c r="G627" s="147"/>
      <c r="H627" s="147"/>
      <c r="I627" s="147"/>
      <c r="J627" s="209"/>
    </row>
    <row r="628" spans="1:10" ht="15" customHeight="1" x14ac:dyDescent="0.25">
      <c r="A628" s="164"/>
      <c r="B628" s="208"/>
      <c r="C628" s="147"/>
      <c r="D628" s="147"/>
      <c r="E628" s="147"/>
      <c r="F628" s="147"/>
      <c r="G628" s="147"/>
      <c r="H628" s="147"/>
      <c r="I628" s="147"/>
      <c r="J628" s="209"/>
    </row>
    <row r="629" spans="1:10" ht="15" customHeight="1" x14ac:dyDescent="0.25">
      <c r="A629" s="164"/>
      <c r="B629" s="208"/>
      <c r="C629" s="147"/>
      <c r="D629" s="147"/>
      <c r="E629" s="147"/>
      <c r="F629" s="147"/>
      <c r="G629" s="147"/>
      <c r="H629" s="147"/>
      <c r="I629" s="147"/>
      <c r="J629" s="209"/>
    </row>
    <row r="630" spans="1:10" ht="15" customHeight="1" x14ac:dyDescent="0.25">
      <c r="A630" s="164"/>
      <c r="B630" s="208"/>
      <c r="C630" s="147"/>
      <c r="D630" s="147"/>
      <c r="E630" s="147"/>
      <c r="F630" s="147"/>
      <c r="G630" s="147"/>
      <c r="H630" s="147"/>
      <c r="I630" s="147"/>
      <c r="J630" s="209"/>
    </row>
    <row r="631" spans="1:10" ht="15" customHeight="1" x14ac:dyDescent="0.25">
      <c r="A631" s="165"/>
      <c r="B631" s="210"/>
      <c r="C631" s="211"/>
      <c r="D631" s="211"/>
      <c r="E631" s="211"/>
      <c r="F631" s="211"/>
      <c r="G631" s="211"/>
      <c r="H631" s="211"/>
      <c r="I631" s="211"/>
      <c r="J631" s="212"/>
    </row>
    <row r="632" spans="1:10" ht="15" customHeight="1" x14ac:dyDescent="0.25">
      <c r="A632" s="161">
        <v>7</v>
      </c>
      <c r="B632" s="162" t="s">
        <v>679</v>
      </c>
      <c r="C632" s="162"/>
      <c r="D632" s="162"/>
      <c r="E632" s="162"/>
      <c r="F632" s="162"/>
      <c r="G632" s="162"/>
      <c r="H632" s="162"/>
      <c r="I632" s="162"/>
      <c r="J632" s="162"/>
    </row>
    <row r="633" spans="1:10" ht="15" customHeight="1" x14ac:dyDescent="0.25">
      <c r="A633" s="161"/>
      <c r="B633" s="162"/>
      <c r="C633" s="162"/>
      <c r="D633" s="162"/>
      <c r="E633" s="162"/>
      <c r="F633" s="162"/>
      <c r="G633" s="162"/>
      <c r="H633" s="162"/>
      <c r="I633" s="162"/>
      <c r="J633" s="162"/>
    </row>
    <row r="634" spans="1:10" ht="15" customHeight="1" x14ac:dyDescent="0.25">
      <c r="A634" s="161"/>
      <c r="B634" s="162"/>
      <c r="C634" s="162"/>
      <c r="D634" s="162"/>
      <c r="E634" s="162"/>
      <c r="F634" s="162"/>
      <c r="G634" s="162"/>
      <c r="H634" s="162"/>
      <c r="I634" s="162"/>
      <c r="J634" s="162"/>
    </row>
    <row r="635" spans="1:10" ht="15" customHeight="1" x14ac:dyDescent="0.25">
      <c r="A635" s="161">
        <v>8</v>
      </c>
      <c r="B635" s="162" t="s">
        <v>680</v>
      </c>
      <c r="C635" s="162"/>
      <c r="D635" s="162"/>
      <c r="E635" s="162"/>
      <c r="F635" s="162"/>
      <c r="G635" s="162"/>
      <c r="H635" s="162"/>
      <c r="I635" s="162"/>
      <c r="J635" s="162"/>
    </row>
    <row r="636" spans="1:10" ht="15" customHeight="1" x14ac:dyDescent="0.25">
      <c r="A636" s="161"/>
      <c r="B636" s="162"/>
      <c r="C636" s="162"/>
      <c r="D636" s="162"/>
      <c r="E636" s="162"/>
      <c r="F636" s="162"/>
      <c r="G636" s="162"/>
      <c r="H636" s="162"/>
      <c r="I636" s="162"/>
      <c r="J636" s="162"/>
    </row>
    <row r="637" spans="1:10" ht="15" customHeight="1" x14ac:dyDescent="0.25">
      <c r="A637" s="161"/>
      <c r="B637" s="162"/>
      <c r="C637" s="162"/>
      <c r="D637" s="162"/>
      <c r="E637" s="162"/>
      <c r="F637" s="162"/>
      <c r="G637" s="162"/>
      <c r="H637" s="162"/>
      <c r="I637" s="162"/>
      <c r="J637" s="162"/>
    </row>
    <row r="638" spans="1:10" ht="15" customHeight="1" x14ac:dyDescent="0.25">
      <c r="A638" s="161">
        <v>9</v>
      </c>
      <c r="B638" s="160" t="s">
        <v>681</v>
      </c>
      <c r="C638" s="162"/>
      <c r="D638" s="162"/>
      <c r="E638" s="162"/>
      <c r="F638" s="162"/>
      <c r="G638" s="162"/>
      <c r="H638" s="162"/>
      <c r="I638" s="162"/>
      <c r="J638" s="162"/>
    </row>
    <row r="639" spans="1:10" ht="15" customHeight="1" x14ac:dyDescent="0.25">
      <c r="A639" s="161"/>
      <c r="B639" s="162"/>
      <c r="C639" s="162"/>
      <c r="D639" s="162"/>
      <c r="E639" s="162"/>
      <c r="F639" s="162"/>
      <c r="G639" s="162"/>
      <c r="H639" s="162"/>
      <c r="I639" s="162"/>
      <c r="J639" s="162"/>
    </row>
    <row r="640" spans="1:10" ht="15" customHeight="1" x14ac:dyDescent="0.25">
      <c r="A640" s="161"/>
      <c r="B640" s="162"/>
      <c r="C640" s="162"/>
      <c r="D640" s="162"/>
      <c r="E640" s="162"/>
      <c r="F640" s="162"/>
      <c r="G640" s="162"/>
      <c r="H640" s="162"/>
      <c r="I640" s="162"/>
      <c r="J640" s="162"/>
    </row>
    <row r="641" spans="1:10" ht="15" customHeight="1" x14ac:dyDescent="0.25">
      <c r="A641" s="161">
        <v>10</v>
      </c>
      <c r="B641" s="160" t="s">
        <v>662</v>
      </c>
      <c r="C641" s="160"/>
      <c r="D641" s="160"/>
      <c r="E641" s="160"/>
      <c r="F641" s="160"/>
      <c r="G641" s="160"/>
      <c r="H641" s="160"/>
      <c r="I641" s="160"/>
      <c r="J641" s="160"/>
    </row>
    <row r="642" spans="1:10" ht="15" customHeight="1" x14ac:dyDescent="0.25">
      <c r="A642" s="161"/>
      <c r="B642" s="160"/>
      <c r="C642" s="160"/>
      <c r="D642" s="160"/>
      <c r="E642" s="160"/>
      <c r="F642" s="160"/>
      <c r="G642" s="160"/>
      <c r="H642" s="160"/>
      <c r="I642" s="160"/>
      <c r="J642" s="160"/>
    </row>
    <row r="643" spans="1:10" ht="15" customHeight="1" x14ac:dyDescent="0.25">
      <c r="A643" s="161">
        <v>11</v>
      </c>
      <c r="B643" s="162" t="s">
        <v>33</v>
      </c>
      <c r="C643" s="162"/>
      <c r="D643" s="162"/>
      <c r="E643" s="162"/>
      <c r="F643" s="162"/>
      <c r="G643" s="162"/>
      <c r="H643" s="162"/>
      <c r="I643" s="162"/>
      <c r="J643" s="162"/>
    </row>
    <row r="644" spans="1:10" ht="15" customHeight="1" x14ac:dyDescent="0.25">
      <c r="A644" s="161"/>
      <c r="B644" s="162"/>
      <c r="C644" s="162"/>
      <c r="D644" s="162"/>
      <c r="E644" s="162"/>
      <c r="F644" s="162"/>
      <c r="G644" s="162"/>
      <c r="H644" s="162"/>
      <c r="I644" s="162"/>
      <c r="J644" s="162"/>
    </row>
    <row r="645" spans="1:10" ht="15" customHeight="1" x14ac:dyDescent="0.25">
      <c r="A645" s="161"/>
      <c r="B645" s="162"/>
      <c r="C645" s="162"/>
      <c r="D645" s="162"/>
      <c r="E645" s="162"/>
      <c r="F645" s="162"/>
      <c r="G645" s="162"/>
      <c r="H645" s="162"/>
      <c r="I645" s="162"/>
      <c r="J645" s="162"/>
    </row>
    <row r="646" spans="1:10" ht="15" customHeight="1" x14ac:dyDescent="0.25">
      <c r="A646" s="161">
        <v>12</v>
      </c>
      <c r="B646" s="162" t="s">
        <v>682</v>
      </c>
      <c r="C646" s="162"/>
      <c r="D646" s="162"/>
      <c r="E646" s="162"/>
      <c r="F646" s="162"/>
      <c r="G646" s="162"/>
      <c r="H646" s="162"/>
      <c r="I646" s="162"/>
      <c r="J646" s="162"/>
    </row>
    <row r="647" spans="1:10" ht="15" customHeight="1" x14ac:dyDescent="0.25">
      <c r="A647" s="161"/>
      <c r="B647" s="162"/>
      <c r="C647" s="162"/>
      <c r="D647" s="162"/>
      <c r="E647" s="162"/>
      <c r="F647" s="162"/>
      <c r="G647" s="162"/>
      <c r="H647" s="162"/>
      <c r="I647" s="162"/>
      <c r="J647" s="162"/>
    </row>
    <row r="648" spans="1:10" ht="15" customHeight="1" x14ac:dyDescent="0.25">
      <c r="A648" s="161"/>
      <c r="B648" s="162"/>
      <c r="C648" s="162"/>
      <c r="D648" s="162"/>
      <c r="E648" s="162"/>
      <c r="F648" s="162"/>
      <c r="G648" s="162"/>
      <c r="H648" s="162"/>
      <c r="I648" s="162"/>
      <c r="J648" s="162"/>
    </row>
    <row r="649" spans="1:10" ht="15" customHeight="1" x14ac:dyDescent="0.25">
      <c r="A649" s="161"/>
      <c r="B649" s="162"/>
      <c r="C649" s="162"/>
      <c r="D649" s="162"/>
      <c r="E649" s="162"/>
      <c r="F649" s="162"/>
      <c r="G649" s="162"/>
      <c r="H649" s="162"/>
      <c r="I649" s="162"/>
      <c r="J649" s="162"/>
    </row>
    <row r="650" spans="1:10" ht="15" customHeight="1" x14ac:dyDescent="0.25">
      <c r="A650" s="161"/>
      <c r="B650" s="162"/>
      <c r="C650" s="162"/>
      <c r="D650" s="162"/>
      <c r="E650" s="162"/>
      <c r="F650" s="162"/>
      <c r="G650" s="162"/>
      <c r="H650" s="162"/>
      <c r="I650" s="162"/>
      <c r="J650" s="162"/>
    </row>
    <row r="651" spans="1:10" ht="15" customHeight="1" x14ac:dyDescent="0.25">
      <c r="A651" s="161">
        <v>13</v>
      </c>
      <c r="B651" s="162" t="s">
        <v>684</v>
      </c>
      <c r="C651" s="162"/>
      <c r="D651" s="162"/>
      <c r="E651" s="162"/>
      <c r="F651" s="162"/>
      <c r="G651" s="162"/>
      <c r="H651" s="162"/>
      <c r="I651" s="162"/>
      <c r="J651" s="162"/>
    </row>
    <row r="652" spans="1:10" ht="15" customHeight="1" x14ac:dyDescent="0.25">
      <c r="A652" s="161"/>
      <c r="B652" s="162"/>
      <c r="C652" s="162"/>
      <c r="D652" s="162"/>
      <c r="E652" s="162"/>
      <c r="F652" s="162"/>
      <c r="G652" s="162"/>
      <c r="H652" s="162"/>
      <c r="I652" s="162"/>
      <c r="J652" s="162"/>
    </row>
    <row r="653" spans="1:10" ht="15" customHeight="1" x14ac:dyDescent="0.25">
      <c r="A653" s="161"/>
      <c r="B653" s="162"/>
      <c r="C653" s="162"/>
      <c r="D653" s="162"/>
      <c r="E653" s="162"/>
      <c r="F653" s="162"/>
      <c r="G653" s="162"/>
      <c r="H653" s="162"/>
      <c r="I653" s="162"/>
      <c r="J653" s="162"/>
    </row>
    <row r="654" spans="1:10" ht="15" customHeight="1" x14ac:dyDescent="0.25">
      <c r="A654" s="161">
        <v>14</v>
      </c>
      <c r="B654" s="162" t="s">
        <v>683</v>
      </c>
      <c r="C654" s="162"/>
      <c r="D654" s="162"/>
      <c r="E654" s="162"/>
      <c r="F654" s="162"/>
      <c r="G654" s="162"/>
      <c r="H654" s="162"/>
      <c r="I654" s="162"/>
      <c r="J654" s="162"/>
    </row>
    <row r="655" spans="1:10" ht="15" customHeight="1" x14ac:dyDescent="0.25">
      <c r="A655" s="161"/>
      <c r="B655" s="162"/>
      <c r="C655" s="162"/>
      <c r="D655" s="162"/>
      <c r="E655" s="162"/>
      <c r="F655" s="162"/>
      <c r="G655" s="162"/>
      <c r="H655" s="162"/>
      <c r="I655" s="162"/>
      <c r="J655" s="162"/>
    </row>
    <row r="656" spans="1:10" ht="15" customHeight="1" x14ac:dyDescent="0.25">
      <c r="A656" s="161"/>
      <c r="B656" s="162"/>
      <c r="C656" s="162"/>
      <c r="D656" s="162"/>
      <c r="E656" s="162"/>
      <c r="F656" s="162"/>
      <c r="G656" s="162"/>
      <c r="H656" s="162"/>
      <c r="I656" s="162"/>
      <c r="J656" s="162"/>
    </row>
    <row r="657" spans="1:10" ht="15" customHeight="1" x14ac:dyDescent="0.25">
      <c r="A657" s="161"/>
      <c r="B657" s="162"/>
      <c r="C657" s="162"/>
      <c r="D657" s="162"/>
      <c r="E657" s="162"/>
      <c r="F657" s="162"/>
      <c r="G657" s="162"/>
      <c r="H657" s="162"/>
      <c r="I657" s="162"/>
      <c r="J657" s="162"/>
    </row>
    <row r="658" spans="1:10" ht="15" customHeight="1" x14ac:dyDescent="0.25">
      <c r="A658" s="161"/>
      <c r="B658" s="162"/>
      <c r="C658" s="162"/>
      <c r="D658" s="162"/>
      <c r="E658" s="162"/>
      <c r="F658" s="162"/>
      <c r="G658" s="162"/>
      <c r="H658" s="162"/>
      <c r="I658" s="162"/>
      <c r="J658" s="162"/>
    </row>
    <row r="659" spans="1:10" ht="15" customHeight="1" x14ac:dyDescent="0.25">
      <c r="A659" s="161"/>
      <c r="B659" s="162"/>
      <c r="C659" s="162"/>
      <c r="D659" s="162"/>
      <c r="E659" s="162"/>
      <c r="F659" s="162"/>
      <c r="G659" s="162"/>
      <c r="H659" s="162"/>
      <c r="I659" s="162"/>
      <c r="J659" s="162"/>
    </row>
    <row r="660" spans="1:10" ht="15" customHeight="1" x14ac:dyDescent="0.25">
      <c r="A660" s="161"/>
      <c r="B660" s="162"/>
      <c r="C660" s="162"/>
      <c r="D660" s="162"/>
      <c r="E660" s="162"/>
      <c r="F660" s="162"/>
      <c r="G660" s="162"/>
      <c r="H660" s="162"/>
      <c r="I660" s="162"/>
      <c r="J660" s="162"/>
    </row>
    <row r="661" spans="1:10" ht="15" customHeight="1" x14ac:dyDescent="0.25">
      <c r="A661" s="161"/>
      <c r="B661" s="162"/>
      <c r="C661" s="162"/>
      <c r="D661" s="162"/>
      <c r="E661" s="162"/>
      <c r="F661" s="162"/>
      <c r="G661" s="162"/>
      <c r="H661" s="162"/>
      <c r="I661" s="162"/>
      <c r="J661" s="162"/>
    </row>
    <row r="662" spans="1:10" ht="15" customHeight="1" x14ac:dyDescent="0.25">
      <c r="A662" s="161">
        <v>15</v>
      </c>
      <c r="B662" s="162" t="s">
        <v>685</v>
      </c>
      <c r="C662" s="162"/>
      <c r="D662" s="162"/>
      <c r="E662" s="162"/>
      <c r="F662" s="162"/>
      <c r="G662" s="162"/>
      <c r="H662" s="162"/>
      <c r="I662" s="162"/>
      <c r="J662" s="162"/>
    </row>
    <row r="663" spans="1:10" ht="15" customHeight="1" x14ac:dyDescent="0.25">
      <c r="A663" s="161"/>
      <c r="B663" s="162"/>
      <c r="C663" s="162"/>
      <c r="D663" s="162"/>
      <c r="E663" s="162"/>
      <c r="F663" s="162"/>
      <c r="G663" s="162"/>
      <c r="H663" s="162"/>
      <c r="I663" s="162"/>
      <c r="J663" s="162"/>
    </row>
    <row r="664" spans="1:10" ht="15" customHeight="1" x14ac:dyDescent="0.25">
      <c r="A664" s="161"/>
      <c r="B664" s="162"/>
      <c r="C664" s="162"/>
      <c r="D664" s="162"/>
      <c r="E664" s="162"/>
      <c r="F664" s="162"/>
      <c r="G664" s="162"/>
      <c r="H664" s="162"/>
      <c r="I664" s="162"/>
      <c r="J664" s="162"/>
    </row>
    <row r="665" spans="1:10" ht="15" customHeight="1" x14ac:dyDescent="0.25">
      <c r="A665" s="161"/>
      <c r="B665" s="162"/>
      <c r="C665" s="162"/>
      <c r="D665" s="162"/>
      <c r="E665" s="162"/>
      <c r="F665" s="162"/>
      <c r="G665" s="162"/>
      <c r="H665" s="162"/>
      <c r="I665" s="162"/>
      <c r="J665" s="162"/>
    </row>
    <row r="666" spans="1:10" ht="15" customHeight="1" x14ac:dyDescent="0.25">
      <c r="A666" s="161"/>
      <c r="B666" s="162"/>
      <c r="C666" s="162"/>
      <c r="D666" s="162"/>
      <c r="E666" s="162"/>
      <c r="F666" s="162"/>
      <c r="G666" s="162"/>
      <c r="H666" s="162"/>
      <c r="I666" s="162"/>
      <c r="J666" s="162"/>
    </row>
    <row r="667" spans="1:10" ht="15" customHeight="1" x14ac:dyDescent="0.25">
      <c r="A667" s="161"/>
      <c r="B667" s="162"/>
      <c r="C667" s="162"/>
      <c r="D667" s="162"/>
      <c r="E667" s="162"/>
      <c r="F667" s="162"/>
      <c r="G667" s="162"/>
      <c r="H667" s="162"/>
      <c r="I667" s="162"/>
      <c r="J667" s="162"/>
    </row>
    <row r="668" spans="1:10" ht="15" customHeight="1" x14ac:dyDescent="0.25">
      <c r="A668" s="161"/>
      <c r="B668" s="162"/>
      <c r="C668" s="162"/>
      <c r="D668" s="162"/>
      <c r="E668" s="162"/>
      <c r="F668" s="162"/>
      <c r="G668" s="162"/>
      <c r="H668" s="162"/>
      <c r="I668" s="162"/>
      <c r="J668" s="162"/>
    </row>
    <row r="669" spans="1:10" ht="15" customHeight="1" x14ac:dyDescent="0.25">
      <c r="A669" s="161"/>
      <c r="B669" s="162"/>
      <c r="C669" s="162"/>
      <c r="D669" s="162"/>
      <c r="E669" s="162"/>
      <c r="F669" s="162"/>
      <c r="G669" s="162"/>
      <c r="H669" s="162"/>
      <c r="I669" s="162"/>
      <c r="J669" s="162"/>
    </row>
    <row r="670" spans="1:10" ht="15" customHeight="1" x14ac:dyDescent="0.25">
      <c r="A670" s="161"/>
      <c r="B670" s="162"/>
      <c r="C670" s="162"/>
      <c r="D670" s="162"/>
      <c r="E670" s="162"/>
      <c r="F670" s="162"/>
      <c r="G670" s="162"/>
      <c r="H670" s="162"/>
      <c r="I670" s="162"/>
      <c r="J670" s="162"/>
    </row>
    <row r="671" spans="1:10" ht="15" customHeight="1" x14ac:dyDescent="0.25">
      <c r="A671" s="161"/>
      <c r="B671" s="162"/>
      <c r="C671" s="162"/>
      <c r="D671" s="162"/>
      <c r="E671" s="162"/>
      <c r="F671" s="162"/>
      <c r="G671" s="162"/>
      <c r="H671" s="162"/>
      <c r="I671" s="162"/>
      <c r="J671" s="162"/>
    </row>
    <row r="672" spans="1:10" ht="15" customHeight="1" x14ac:dyDescent="0.25">
      <c r="A672" s="161"/>
      <c r="B672" s="162"/>
      <c r="C672" s="162"/>
      <c r="D672" s="162"/>
      <c r="E672" s="162"/>
      <c r="F672" s="162"/>
      <c r="G672" s="162"/>
      <c r="H672" s="162"/>
      <c r="I672" s="162"/>
      <c r="J672" s="162"/>
    </row>
    <row r="673" spans="1:10" ht="15" customHeight="1" x14ac:dyDescent="0.25">
      <c r="A673" s="161"/>
      <c r="B673" s="162"/>
      <c r="C673" s="162"/>
      <c r="D673" s="162"/>
      <c r="E673" s="162"/>
      <c r="F673" s="162"/>
      <c r="G673" s="162"/>
      <c r="H673" s="162"/>
      <c r="I673" s="162"/>
      <c r="J673" s="162"/>
    </row>
    <row r="674" spans="1:10" ht="15" customHeight="1" x14ac:dyDescent="0.25">
      <c r="A674" s="161"/>
      <c r="B674" s="162"/>
      <c r="C674" s="162"/>
      <c r="D674" s="162"/>
      <c r="E674" s="162"/>
      <c r="F674" s="162"/>
      <c r="G674" s="162"/>
      <c r="H674" s="162"/>
      <c r="I674" s="162"/>
      <c r="J674" s="162"/>
    </row>
    <row r="675" spans="1:10" ht="15" customHeight="1" x14ac:dyDescent="0.25">
      <c r="A675" s="161"/>
      <c r="B675" s="162"/>
      <c r="C675" s="162"/>
      <c r="D675" s="162"/>
      <c r="E675" s="162"/>
      <c r="F675" s="162"/>
      <c r="G675" s="162"/>
      <c r="H675" s="162"/>
      <c r="I675" s="162"/>
      <c r="J675" s="162"/>
    </row>
    <row r="676" spans="1:10" ht="15" customHeight="1" x14ac:dyDescent="0.25">
      <c r="A676" s="161"/>
      <c r="B676" s="162"/>
      <c r="C676" s="162"/>
      <c r="D676" s="162"/>
      <c r="E676" s="162"/>
      <c r="F676" s="162"/>
      <c r="G676" s="162"/>
      <c r="H676" s="162"/>
      <c r="I676" s="162"/>
      <c r="J676" s="162"/>
    </row>
    <row r="677" spans="1:10" ht="15" customHeight="1" x14ac:dyDescent="0.25">
      <c r="A677" s="161"/>
      <c r="B677" s="162"/>
      <c r="C677" s="162"/>
      <c r="D677" s="162"/>
      <c r="E677" s="162"/>
      <c r="F677" s="162"/>
      <c r="G677" s="162"/>
      <c r="H677" s="162"/>
      <c r="I677" s="162"/>
      <c r="J677" s="162"/>
    </row>
    <row r="678" spans="1:10" ht="15" customHeight="1" x14ac:dyDescent="0.25">
      <c r="A678" s="161"/>
      <c r="B678" s="162"/>
      <c r="C678" s="162"/>
      <c r="D678" s="162"/>
      <c r="E678" s="162"/>
      <c r="F678" s="162"/>
      <c r="G678" s="162"/>
      <c r="H678" s="162"/>
      <c r="I678" s="162"/>
      <c r="J678" s="162"/>
    </row>
    <row r="679" spans="1:10" ht="15" customHeight="1" x14ac:dyDescent="0.25">
      <c r="A679" s="161"/>
      <c r="B679" s="162"/>
      <c r="C679" s="162"/>
      <c r="D679" s="162"/>
      <c r="E679" s="162"/>
      <c r="F679" s="162"/>
      <c r="G679" s="162"/>
      <c r="H679" s="162"/>
      <c r="I679" s="162"/>
      <c r="J679" s="162"/>
    </row>
    <row r="680" spans="1:10" ht="15" customHeight="1" x14ac:dyDescent="0.25">
      <c r="A680" s="161"/>
      <c r="B680" s="162"/>
      <c r="C680" s="162"/>
      <c r="D680" s="162"/>
      <c r="E680" s="162"/>
      <c r="F680" s="162"/>
      <c r="G680" s="162"/>
      <c r="H680" s="162"/>
      <c r="I680" s="162"/>
      <c r="J680" s="162"/>
    </row>
    <row r="681" spans="1:10" ht="15" customHeight="1" x14ac:dyDescent="0.25">
      <c r="A681" s="161"/>
      <c r="B681" s="162"/>
      <c r="C681" s="162"/>
      <c r="D681" s="162"/>
      <c r="E681" s="162"/>
      <c r="F681" s="162"/>
      <c r="G681" s="162"/>
      <c r="H681" s="162"/>
      <c r="I681" s="162"/>
      <c r="J681" s="162"/>
    </row>
    <row r="682" spans="1:10" ht="15" customHeight="1" x14ac:dyDescent="0.25">
      <c r="A682" s="161"/>
      <c r="B682" s="162"/>
      <c r="C682" s="162"/>
      <c r="D682" s="162"/>
      <c r="E682" s="162"/>
      <c r="F682" s="162"/>
      <c r="G682" s="162"/>
      <c r="H682" s="162"/>
      <c r="I682" s="162"/>
      <c r="J682" s="162"/>
    </row>
    <row r="683" spans="1:10" ht="15" customHeight="1" x14ac:dyDescent="0.25">
      <c r="A683" s="161">
        <v>16</v>
      </c>
      <c r="B683" s="162" t="s">
        <v>686</v>
      </c>
      <c r="C683" s="162"/>
      <c r="D683" s="162"/>
      <c r="E683" s="162"/>
      <c r="F683" s="162"/>
      <c r="G683" s="162"/>
      <c r="H683" s="162"/>
      <c r="I683" s="162"/>
      <c r="J683" s="162"/>
    </row>
    <row r="684" spans="1:10" ht="15" customHeight="1" x14ac:dyDescent="0.25">
      <c r="A684" s="161"/>
      <c r="B684" s="162"/>
      <c r="C684" s="162"/>
      <c r="D684" s="162"/>
      <c r="E684" s="162"/>
      <c r="F684" s="162"/>
      <c r="G684" s="162"/>
      <c r="H684" s="162"/>
      <c r="I684" s="162"/>
      <c r="J684" s="162"/>
    </row>
    <row r="685" spans="1:10" ht="15" customHeight="1" x14ac:dyDescent="0.25">
      <c r="A685" s="161"/>
      <c r="B685" s="162"/>
      <c r="C685" s="162"/>
      <c r="D685" s="162"/>
      <c r="E685" s="162"/>
      <c r="F685" s="162"/>
      <c r="G685" s="162"/>
      <c r="H685" s="162"/>
      <c r="I685" s="162"/>
      <c r="J685" s="162"/>
    </row>
    <row r="686" spans="1:10" ht="15" customHeight="1" x14ac:dyDescent="0.25">
      <c r="A686" s="161"/>
      <c r="B686" s="162"/>
      <c r="C686" s="162"/>
      <c r="D686" s="162"/>
      <c r="E686" s="162"/>
      <c r="F686" s="162"/>
      <c r="G686" s="162"/>
      <c r="H686" s="162"/>
      <c r="I686" s="162"/>
      <c r="J686" s="162"/>
    </row>
    <row r="687" spans="1:10" ht="15" customHeight="1" x14ac:dyDescent="0.25">
      <c r="A687" s="161"/>
      <c r="B687" s="162"/>
      <c r="C687" s="162"/>
      <c r="D687" s="162"/>
      <c r="E687" s="162"/>
      <c r="F687" s="162"/>
      <c r="G687" s="162"/>
      <c r="H687" s="162"/>
      <c r="I687" s="162"/>
      <c r="J687" s="162"/>
    </row>
    <row r="688" spans="1:10" ht="15" customHeight="1" x14ac:dyDescent="0.25">
      <c r="A688" s="161"/>
      <c r="B688" s="162"/>
      <c r="C688" s="162"/>
      <c r="D688" s="162"/>
      <c r="E688" s="162"/>
      <c r="F688" s="162"/>
      <c r="G688" s="162"/>
      <c r="H688" s="162"/>
      <c r="I688" s="162"/>
      <c r="J688" s="162"/>
    </row>
    <row r="689" spans="1:10" ht="15" customHeight="1" x14ac:dyDescent="0.25">
      <c r="A689" s="161"/>
      <c r="B689" s="162"/>
      <c r="C689" s="162"/>
      <c r="D689" s="162"/>
      <c r="E689" s="162"/>
      <c r="F689" s="162"/>
      <c r="G689" s="162"/>
      <c r="H689" s="162"/>
      <c r="I689" s="162"/>
      <c r="J689" s="162"/>
    </row>
    <row r="690" spans="1:10" ht="15" customHeight="1" x14ac:dyDescent="0.25">
      <c r="A690" s="161"/>
      <c r="B690" s="162"/>
      <c r="C690" s="162"/>
      <c r="D690" s="162"/>
      <c r="E690" s="162"/>
      <c r="F690" s="162"/>
      <c r="G690" s="162"/>
      <c r="H690" s="162"/>
      <c r="I690" s="162"/>
      <c r="J690" s="162"/>
    </row>
    <row r="691" spans="1:10" ht="15" customHeight="1" x14ac:dyDescent="0.25">
      <c r="A691" s="161"/>
      <c r="B691" s="162"/>
      <c r="C691" s="162"/>
      <c r="D691" s="162"/>
      <c r="E691" s="162"/>
      <c r="F691" s="162"/>
      <c r="G691" s="162"/>
      <c r="H691" s="162"/>
      <c r="I691" s="162"/>
      <c r="J691" s="162"/>
    </row>
    <row r="692" spans="1:10" ht="15" customHeight="1" x14ac:dyDescent="0.25">
      <c r="A692" s="161"/>
      <c r="B692" s="162"/>
      <c r="C692" s="162"/>
      <c r="D692" s="162"/>
      <c r="E692" s="162"/>
      <c r="F692" s="162"/>
      <c r="G692" s="162"/>
      <c r="H692" s="162"/>
      <c r="I692" s="162"/>
      <c r="J692" s="162"/>
    </row>
    <row r="693" spans="1:10" ht="15" customHeight="1" x14ac:dyDescent="0.25">
      <c r="A693" s="161"/>
      <c r="B693" s="162"/>
      <c r="C693" s="162"/>
      <c r="D693" s="162"/>
      <c r="E693" s="162"/>
      <c r="F693" s="162"/>
      <c r="G693" s="162"/>
      <c r="H693" s="162"/>
      <c r="I693" s="162"/>
      <c r="J693" s="162"/>
    </row>
    <row r="694" spans="1:10" ht="15" customHeight="1" x14ac:dyDescent="0.25">
      <c r="A694" s="161"/>
      <c r="B694" s="162"/>
      <c r="C694" s="162"/>
      <c r="D694" s="162"/>
      <c r="E694" s="162"/>
      <c r="F694" s="162"/>
      <c r="G694" s="162"/>
      <c r="H694" s="162"/>
      <c r="I694" s="162"/>
      <c r="J694" s="162"/>
    </row>
    <row r="695" spans="1:10" ht="15" customHeight="1" x14ac:dyDescent="0.25">
      <c r="A695" s="161"/>
      <c r="B695" s="162"/>
      <c r="C695" s="162"/>
      <c r="D695" s="162"/>
      <c r="E695" s="162"/>
      <c r="F695" s="162"/>
      <c r="G695" s="162"/>
      <c r="H695" s="162"/>
      <c r="I695" s="162"/>
      <c r="J695" s="162"/>
    </row>
    <row r="696" spans="1:10" ht="15" customHeight="1" x14ac:dyDescent="0.25">
      <c r="A696" s="161"/>
      <c r="B696" s="162"/>
      <c r="C696" s="162"/>
      <c r="D696" s="162"/>
      <c r="E696" s="162"/>
      <c r="F696" s="162"/>
      <c r="G696" s="162"/>
      <c r="H696" s="162"/>
      <c r="I696" s="162"/>
      <c r="J696" s="162"/>
    </row>
    <row r="697" spans="1:10" ht="15" customHeight="1" x14ac:dyDescent="0.25">
      <c r="A697" s="161"/>
      <c r="B697" s="162"/>
      <c r="C697" s="162"/>
      <c r="D697" s="162"/>
      <c r="E697" s="162"/>
      <c r="F697" s="162"/>
      <c r="G697" s="162"/>
      <c r="H697" s="162"/>
      <c r="I697" s="162"/>
      <c r="J697" s="162"/>
    </row>
    <row r="698" spans="1:10" ht="15" customHeight="1" x14ac:dyDescent="0.25">
      <c r="A698" s="161"/>
      <c r="B698" s="162"/>
      <c r="C698" s="162"/>
      <c r="D698" s="162"/>
      <c r="E698" s="162"/>
      <c r="F698" s="162"/>
      <c r="G698" s="162"/>
      <c r="H698" s="162"/>
      <c r="I698" s="162"/>
      <c r="J698" s="162"/>
    </row>
    <row r="699" spans="1:10" ht="15" customHeight="1" x14ac:dyDescent="0.25">
      <c r="A699" s="161"/>
      <c r="B699" s="162"/>
      <c r="C699" s="162"/>
      <c r="D699" s="162"/>
      <c r="E699" s="162"/>
      <c r="F699" s="162"/>
      <c r="G699" s="162"/>
      <c r="H699" s="162"/>
      <c r="I699" s="162"/>
      <c r="J699" s="162"/>
    </row>
    <row r="700" spans="1:10" ht="15" customHeight="1" x14ac:dyDescent="0.25">
      <c r="A700" s="161"/>
      <c r="B700" s="162"/>
      <c r="C700" s="162"/>
      <c r="D700" s="162"/>
      <c r="E700" s="162"/>
      <c r="F700" s="162"/>
      <c r="G700" s="162"/>
      <c r="H700" s="162"/>
      <c r="I700" s="162"/>
      <c r="J700" s="162"/>
    </row>
    <row r="701" spans="1:10" ht="15" customHeight="1" x14ac:dyDescent="0.25">
      <c r="A701" s="161"/>
      <c r="B701" s="162"/>
      <c r="C701" s="162"/>
      <c r="D701" s="162"/>
      <c r="E701" s="162"/>
      <c r="F701" s="162"/>
      <c r="G701" s="162"/>
      <c r="H701" s="162"/>
      <c r="I701" s="162"/>
      <c r="J701" s="162"/>
    </row>
    <row r="702" spans="1:10" ht="15" customHeight="1" x14ac:dyDescent="0.25">
      <c r="A702" s="161"/>
      <c r="B702" s="162"/>
      <c r="C702" s="162"/>
      <c r="D702" s="162"/>
      <c r="E702" s="162"/>
      <c r="F702" s="162"/>
      <c r="G702" s="162"/>
      <c r="H702" s="162"/>
      <c r="I702" s="162"/>
      <c r="J702" s="162"/>
    </row>
    <row r="703" spans="1:10" ht="15" customHeight="1" x14ac:dyDescent="0.25">
      <c r="A703" s="161"/>
      <c r="B703" s="162"/>
      <c r="C703" s="162"/>
      <c r="D703" s="162"/>
      <c r="E703" s="162"/>
      <c r="F703" s="162"/>
      <c r="G703" s="162"/>
      <c r="H703" s="162"/>
      <c r="I703" s="162"/>
      <c r="J703" s="162"/>
    </row>
    <row r="704" spans="1:10" ht="15" customHeight="1" x14ac:dyDescent="0.25">
      <c r="A704" s="161"/>
      <c r="B704" s="162"/>
      <c r="C704" s="162"/>
      <c r="D704" s="162"/>
      <c r="E704" s="162"/>
      <c r="F704" s="162"/>
      <c r="G704" s="162"/>
      <c r="H704" s="162"/>
      <c r="I704" s="162"/>
      <c r="J704" s="162"/>
    </row>
    <row r="705" spans="1:10" ht="15" customHeight="1" x14ac:dyDescent="0.25">
      <c r="A705" s="161"/>
      <c r="B705" s="162"/>
      <c r="C705" s="162"/>
      <c r="D705" s="162"/>
      <c r="E705" s="162"/>
      <c r="F705" s="162"/>
      <c r="G705" s="162"/>
      <c r="H705" s="162"/>
      <c r="I705" s="162"/>
      <c r="J705" s="162"/>
    </row>
    <row r="706" spans="1:10" ht="15" customHeight="1" x14ac:dyDescent="0.25">
      <c r="A706" s="163">
        <v>17</v>
      </c>
      <c r="B706" s="160" t="s">
        <v>687</v>
      </c>
      <c r="C706" s="160"/>
      <c r="D706" s="160"/>
      <c r="E706" s="160"/>
      <c r="F706" s="160"/>
      <c r="G706" s="160"/>
      <c r="H706" s="160"/>
      <c r="I706" s="160"/>
      <c r="J706" s="160"/>
    </row>
    <row r="707" spans="1:10" ht="15" customHeight="1" x14ac:dyDescent="0.25">
      <c r="A707" s="164"/>
      <c r="B707" s="160"/>
      <c r="C707" s="160"/>
      <c r="D707" s="160"/>
      <c r="E707" s="160"/>
      <c r="F707" s="160"/>
      <c r="G707" s="160"/>
      <c r="H707" s="160"/>
      <c r="I707" s="160"/>
      <c r="J707" s="160"/>
    </row>
    <row r="708" spans="1:10" ht="15" customHeight="1" x14ac:dyDescent="0.25">
      <c r="A708" s="164"/>
      <c r="B708" s="160"/>
      <c r="C708" s="160"/>
      <c r="D708" s="160"/>
      <c r="E708" s="160"/>
      <c r="F708" s="160"/>
      <c r="G708" s="160"/>
      <c r="H708" s="160"/>
      <c r="I708" s="160"/>
      <c r="J708" s="160"/>
    </row>
    <row r="709" spans="1:10" ht="15" customHeight="1" x14ac:dyDescent="0.25">
      <c r="A709" s="164"/>
      <c r="B709" s="160"/>
      <c r="C709" s="160"/>
      <c r="D709" s="160"/>
      <c r="E709" s="160"/>
      <c r="F709" s="160"/>
      <c r="G709" s="160"/>
      <c r="H709" s="160"/>
      <c r="I709" s="160"/>
      <c r="J709" s="160"/>
    </row>
    <row r="710" spans="1:10" ht="15" customHeight="1" x14ac:dyDescent="0.25">
      <c r="A710" s="164"/>
      <c r="B710" s="160"/>
      <c r="C710" s="160"/>
      <c r="D710" s="160"/>
      <c r="E710" s="160"/>
      <c r="F710" s="160"/>
      <c r="G710" s="160"/>
      <c r="H710" s="160"/>
      <c r="I710" s="160"/>
      <c r="J710" s="160"/>
    </row>
    <row r="711" spans="1:10" ht="15" customHeight="1" x14ac:dyDescent="0.25">
      <c r="A711" s="164"/>
      <c r="B711" s="160"/>
      <c r="C711" s="160"/>
      <c r="D711" s="160"/>
      <c r="E711" s="160"/>
      <c r="F711" s="160"/>
      <c r="G711" s="160"/>
      <c r="H711" s="160"/>
      <c r="I711" s="160"/>
      <c r="J711" s="160"/>
    </row>
    <row r="712" spans="1:10" ht="15" customHeight="1" x14ac:dyDescent="0.25">
      <c r="A712" s="164"/>
      <c r="B712" s="160"/>
      <c r="C712" s="160"/>
      <c r="D712" s="160"/>
      <c r="E712" s="160"/>
      <c r="F712" s="160"/>
      <c r="G712" s="160"/>
      <c r="H712" s="160"/>
      <c r="I712" s="160"/>
      <c r="J712" s="160"/>
    </row>
    <row r="713" spans="1:10" ht="15" customHeight="1" x14ac:dyDescent="0.25">
      <c r="A713" s="164"/>
      <c r="B713" s="160"/>
      <c r="C713" s="160"/>
      <c r="D713" s="160"/>
      <c r="E713" s="160"/>
      <c r="F713" s="160"/>
      <c r="G713" s="160"/>
      <c r="H713" s="160"/>
      <c r="I713" s="160"/>
      <c r="J713" s="160"/>
    </row>
    <row r="714" spans="1:10" ht="15" customHeight="1" x14ac:dyDescent="0.25">
      <c r="A714" s="164"/>
      <c r="B714" s="160"/>
      <c r="C714" s="160"/>
      <c r="D714" s="160"/>
      <c r="E714" s="160"/>
      <c r="F714" s="160"/>
      <c r="G714" s="160"/>
      <c r="H714" s="160"/>
      <c r="I714" s="160"/>
      <c r="J714" s="160"/>
    </row>
    <row r="715" spans="1:10" ht="15" customHeight="1" x14ac:dyDescent="0.25">
      <c r="A715" s="164"/>
      <c r="B715" s="160"/>
      <c r="C715" s="160"/>
      <c r="D715" s="160"/>
      <c r="E715" s="160"/>
      <c r="F715" s="160"/>
      <c r="G715" s="160"/>
      <c r="H715" s="160"/>
      <c r="I715" s="160"/>
      <c r="J715" s="160"/>
    </row>
    <row r="716" spans="1:10" ht="15" customHeight="1" x14ac:dyDescent="0.25">
      <c r="A716" s="164"/>
      <c r="B716" s="160"/>
      <c r="C716" s="160"/>
      <c r="D716" s="160"/>
      <c r="E716" s="160"/>
      <c r="F716" s="160"/>
      <c r="G716" s="160"/>
      <c r="H716" s="160"/>
      <c r="I716" s="160"/>
      <c r="J716" s="160"/>
    </row>
    <row r="717" spans="1:10" ht="15" customHeight="1" x14ac:dyDescent="0.25">
      <c r="A717" s="164"/>
      <c r="B717" s="160"/>
      <c r="C717" s="160"/>
      <c r="D717" s="160"/>
      <c r="E717" s="160"/>
      <c r="F717" s="160"/>
      <c r="G717" s="160"/>
      <c r="H717" s="160"/>
      <c r="I717" s="160"/>
      <c r="J717" s="160"/>
    </row>
    <row r="718" spans="1:10" ht="15" customHeight="1" x14ac:dyDescent="0.25">
      <c r="A718" s="164"/>
      <c r="B718" s="160"/>
      <c r="C718" s="160"/>
      <c r="D718" s="160"/>
      <c r="E718" s="160"/>
      <c r="F718" s="160"/>
      <c r="G718" s="160"/>
      <c r="H718" s="160"/>
      <c r="I718" s="160"/>
      <c r="J718" s="160"/>
    </row>
    <row r="719" spans="1:10" ht="15" customHeight="1" x14ac:dyDescent="0.25">
      <c r="A719" s="164"/>
      <c r="B719" s="160"/>
      <c r="C719" s="160"/>
      <c r="D719" s="160"/>
      <c r="E719" s="160"/>
      <c r="F719" s="160"/>
      <c r="G719" s="160"/>
      <c r="H719" s="160"/>
      <c r="I719" s="160"/>
      <c r="J719" s="160"/>
    </row>
    <row r="720" spans="1:10" ht="15" customHeight="1" x14ac:dyDescent="0.25">
      <c r="A720" s="164"/>
      <c r="B720" s="160"/>
      <c r="C720" s="160"/>
      <c r="D720" s="160"/>
      <c r="E720" s="160"/>
      <c r="F720" s="160"/>
      <c r="G720" s="160"/>
      <c r="H720" s="160"/>
      <c r="I720" s="160"/>
      <c r="J720" s="160"/>
    </row>
    <row r="721" spans="1:10" ht="15" customHeight="1" x14ac:dyDescent="0.25">
      <c r="A721" s="164"/>
      <c r="B721" s="160"/>
      <c r="C721" s="160"/>
      <c r="D721" s="160"/>
      <c r="E721" s="160"/>
      <c r="F721" s="160"/>
      <c r="G721" s="160"/>
      <c r="H721" s="160"/>
      <c r="I721" s="160"/>
      <c r="J721" s="160"/>
    </row>
    <row r="722" spans="1:10" ht="15" customHeight="1" x14ac:dyDescent="0.25">
      <c r="A722" s="164"/>
      <c r="B722" s="160"/>
      <c r="C722" s="160"/>
      <c r="D722" s="160"/>
      <c r="E722" s="160"/>
      <c r="F722" s="160"/>
      <c r="G722" s="160"/>
      <c r="H722" s="160"/>
      <c r="I722" s="160"/>
      <c r="J722" s="160"/>
    </row>
    <row r="723" spans="1:10" ht="15" customHeight="1" x14ac:dyDescent="0.25">
      <c r="A723" s="164"/>
      <c r="B723" s="160"/>
      <c r="C723" s="160"/>
      <c r="D723" s="160"/>
      <c r="E723" s="160"/>
      <c r="F723" s="160"/>
      <c r="G723" s="160"/>
      <c r="H723" s="160"/>
      <c r="I723" s="160"/>
      <c r="J723" s="160"/>
    </row>
    <row r="724" spans="1:10" ht="15" customHeight="1" x14ac:dyDescent="0.25">
      <c r="A724" s="164"/>
      <c r="B724" s="160"/>
      <c r="C724" s="160"/>
      <c r="D724" s="160"/>
      <c r="E724" s="160"/>
      <c r="F724" s="160"/>
      <c r="G724" s="160"/>
      <c r="H724" s="160"/>
      <c r="I724" s="160"/>
      <c r="J724" s="160"/>
    </row>
    <row r="725" spans="1:10" ht="15" customHeight="1" x14ac:dyDescent="0.25">
      <c r="A725" s="164"/>
      <c r="B725" s="160"/>
      <c r="C725" s="160"/>
      <c r="D725" s="160"/>
      <c r="E725" s="160"/>
      <c r="F725" s="160"/>
      <c r="G725" s="160"/>
      <c r="H725" s="160"/>
      <c r="I725" s="160"/>
      <c r="J725" s="160"/>
    </row>
    <row r="726" spans="1:10" ht="15" customHeight="1" x14ac:dyDescent="0.25">
      <c r="A726" s="164"/>
      <c r="B726" s="160"/>
      <c r="C726" s="160"/>
      <c r="D726" s="160"/>
      <c r="E726" s="160"/>
      <c r="F726" s="160"/>
      <c r="G726" s="160"/>
      <c r="H726" s="160"/>
      <c r="I726" s="160"/>
      <c r="J726" s="160"/>
    </row>
    <row r="727" spans="1:10" ht="15" customHeight="1" x14ac:dyDescent="0.25">
      <c r="A727" s="165"/>
      <c r="B727" s="160"/>
      <c r="C727" s="160"/>
      <c r="D727" s="160"/>
      <c r="E727" s="160"/>
      <c r="F727" s="160"/>
      <c r="G727" s="160"/>
      <c r="H727" s="160"/>
      <c r="I727" s="160"/>
      <c r="J727" s="160"/>
    </row>
    <row r="728" spans="1:10" ht="15" customHeight="1" x14ac:dyDescent="0.25">
      <c r="A728" s="163">
        <v>18</v>
      </c>
      <c r="B728" s="160" t="s">
        <v>688</v>
      </c>
      <c r="C728" s="160"/>
      <c r="D728" s="160"/>
      <c r="E728" s="160"/>
      <c r="F728" s="160"/>
      <c r="G728" s="160"/>
      <c r="H728" s="160"/>
      <c r="I728" s="160"/>
      <c r="J728" s="160"/>
    </row>
    <row r="729" spans="1:10" ht="15" customHeight="1" x14ac:dyDescent="0.25">
      <c r="A729" s="164"/>
      <c r="B729" s="160"/>
      <c r="C729" s="160"/>
      <c r="D729" s="160"/>
      <c r="E729" s="160"/>
      <c r="F729" s="160"/>
      <c r="G729" s="160"/>
      <c r="H729" s="160"/>
      <c r="I729" s="160"/>
      <c r="J729" s="160"/>
    </row>
    <row r="730" spans="1:10" ht="15" customHeight="1" x14ac:dyDescent="0.25">
      <c r="A730" s="164"/>
      <c r="B730" s="160"/>
      <c r="C730" s="160"/>
      <c r="D730" s="160"/>
      <c r="E730" s="160"/>
      <c r="F730" s="160"/>
      <c r="G730" s="160"/>
      <c r="H730" s="160"/>
      <c r="I730" s="160"/>
      <c r="J730" s="160"/>
    </row>
    <row r="731" spans="1:10" ht="15" customHeight="1" x14ac:dyDescent="0.25">
      <c r="A731" s="164"/>
      <c r="B731" s="160"/>
      <c r="C731" s="160"/>
      <c r="D731" s="160"/>
      <c r="E731" s="160"/>
      <c r="F731" s="160"/>
      <c r="G731" s="160"/>
      <c r="H731" s="160"/>
      <c r="I731" s="160"/>
      <c r="J731" s="160"/>
    </row>
    <row r="732" spans="1:10" ht="15" customHeight="1" x14ac:dyDescent="0.25">
      <c r="A732" s="164"/>
      <c r="B732" s="160"/>
      <c r="C732" s="160"/>
      <c r="D732" s="160"/>
      <c r="E732" s="160"/>
      <c r="F732" s="160"/>
      <c r="G732" s="160"/>
      <c r="H732" s="160"/>
      <c r="I732" s="160"/>
      <c r="J732" s="160"/>
    </row>
    <row r="733" spans="1:10" ht="15" customHeight="1" x14ac:dyDescent="0.25">
      <c r="A733" s="164"/>
      <c r="B733" s="160"/>
      <c r="C733" s="160"/>
      <c r="D733" s="160"/>
      <c r="E733" s="160"/>
      <c r="F733" s="160"/>
      <c r="G733" s="160"/>
      <c r="H733" s="160"/>
      <c r="I733" s="160"/>
      <c r="J733" s="160"/>
    </row>
    <row r="734" spans="1:10" ht="15" customHeight="1" x14ac:dyDescent="0.25">
      <c r="A734" s="164"/>
      <c r="B734" s="160"/>
      <c r="C734" s="160"/>
      <c r="D734" s="160"/>
      <c r="E734" s="160"/>
      <c r="F734" s="160"/>
      <c r="G734" s="160"/>
      <c r="H734" s="160"/>
      <c r="I734" s="160"/>
      <c r="J734" s="160"/>
    </row>
    <row r="735" spans="1:10" ht="15" customHeight="1" x14ac:dyDescent="0.25">
      <c r="A735" s="164"/>
      <c r="B735" s="160"/>
      <c r="C735" s="160"/>
      <c r="D735" s="160"/>
      <c r="E735" s="160"/>
      <c r="F735" s="160"/>
      <c r="G735" s="160"/>
      <c r="H735" s="160"/>
      <c r="I735" s="160"/>
      <c r="J735" s="160"/>
    </row>
    <row r="736" spans="1:10" ht="15" customHeight="1" x14ac:dyDescent="0.25">
      <c r="A736" s="164"/>
      <c r="B736" s="160"/>
      <c r="C736" s="160"/>
      <c r="D736" s="160"/>
      <c r="E736" s="160"/>
      <c r="F736" s="160"/>
      <c r="G736" s="160"/>
      <c r="H736" s="160"/>
      <c r="I736" s="160"/>
      <c r="J736" s="160"/>
    </row>
    <row r="737" spans="1:10" ht="15" customHeight="1" x14ac:dyDescent="0.25">
      <c r="A737" s="164"/>
      <c r="B737" s="160"/>
      <c r="C737" s="160"/>
      <c r="D737" s="160"/>
      <c r="E737" s="160"/>
      <c r="F737" s="160"/>
      <c r="G737" s="160"/>
      <c r="H737" s="160"/>
      <c r="I737" s="160"/>
      <c r="J737" s="160"/>
    </row>
    <row r="738" spans="1:10" ht="15" customHeight="1" x14ac:dyDescent="0.25">
      <c r="A738" s="164"/>
      <c r="B738" s="160"/>
      <c r="C738" s="160"/>
      <c r="D738" s="160"/>
      <c r="E738" s="160"/>
      <c r="F738" s="160"/>
      <c r="G738" s="160"/>
      <c r="H738" s="160"/>
      <c r="I738" s="160"/>
      <c r="J738" s="160"/>
    </row>
    <row r="739" spans="1:10" ht="15" customHeight="1" x14ac:dyDescent="0.25">
      <c r="A739" s="164"/>
      <c r="B739" s="160"/>
      <c r="C739" s="160"/>
      <c r="D739" s="160"/>
      <c r="E739" s="160"/>
      <c r="F739" s="160"/>
      <c r="G739" s="160"/>
      <c r="H739" s="160"/>
      <c r="I739" s="160"/>
      <c r="J739" s="160"/>
    </row>
    <row r="740" spans="1:10" ht="15" customHeight="1" x14ac:dyDescent="0.25">
      <c r="A740" s="164"/>
      <c r="B740" s="160"/>
      <c r="C740" s="160"/>
      <c r="D740" s="160"/>
      <c r="E740" s="160"/>
      <c r="F740" s="160"/>
      <c r="G740" s="160"/>
      <c r="H740" s="160"/>
      <c r="I740" s="160"/>
      <c r="J740" s="160"/>
    </row>
    <row r="741" spans="1:10" ht="15" customHeight="1" x14ac:dyDescent="0.25">
      <c r="A741" s="164"/>
      <c r="B741" s="160"/>
      <c r="C741" s="160"/>
      <c r="D741" s="160"/>
      <c r="E741" s="160"/>
      <c r="F741" s="160"/>
      <c r="G741" s="160"/>
      <c r="H741" s="160"/>
      <c r="I741" s="160"/>
      <c r="J741" s="160"/>
    </row>
    <row r="742" spans="1:10" ht="15" customHeight="1" x14ac:dyDescent="0.25">
      <c r="A742" s="164"/>
      <c r="B742" s="160"/>
      <c r="C742" s="160"/>
      <c r="D742" s="160"/>
      <c r="E742" s="160"/>
      <c r="F742" s="160"/>
      <c r="G742" s="160"/>
      <c r="H742" s="160"/>
      <c r="I742" s="160"/>
      <c r="J742" s="160"/>
    </row>
    <row r="743" spans="1:10" ht="15" customHeight="1" x14ac:dyDescent="0.25">
      <c r="A743" s="164"/>
      <c r="B743" s="160"/>
      <c r="C743" s="160"/>
      <c r="D743" s="160"/>
      <c r="E743" s="160"/>
      <c r="F743" s="160"/>
      <c r="G743" s="160"/>
      <c r="H743" s="160"/>
      <c r="I743" s="160"/>
      <c r="J743" s="160"/>
    </row>
    <row r="744" spans="1:10" ht="15" customHeight="1" x14ac:dyDescent="0.25">
      <c r="A744" s="164"/>
      <c r="B744" s="160"/>
      <c r="C744" s="160"/>
      <c r="D744" s="160"/>
      <c r="E744" s="160"/>
      <c r="F744" s="160"/>
      <c r="G744" s="160"/>
      <c r="H744" s="160"/>
      <c r="I744" s="160"/>
      <c r="J744" s="160"/>
    </row>
    <row r="745" spans="1:10" ht="15" customHeight="1" x14ac:dyDescent="0.25">
      <c r="A745" s="164"/>
      <c r="B745" s="160"/>
      <c r="C745" s="160"/>
      <c r="D745" s="160"/>
      <c r="E745" s="160"/>
      <c r="F745" s="160"/>
      <c r="G745" s="160"/>
      <c r="H745" s="160"/>
      <c r="I745" s="160"/>
      <c r="J745" s="160"/>
    </row>
    <row r="746" spans="1:10" ht="15" customHeight="1" x14ac:dyDescent="0.25">
      <c r="A746" s="165"/>
      <c r="B746" s="160"/>
      <c r="C746" s="160"/>
      <c r="D746" s="160"/>
      <c r="E746" s="160"/>
      <c r="F746" s="160"/>
      <c r="G746" s="160"/>
      <c r="H746" s="160"/>
      <c r="I746" s="160"/>
      <c r="J746" s="160"/>
    </row>
    <row r="747" spans="1:10" ht="15" customHeight="1" x14ac:dyDescent="0.25">
      <c r="A747" s="161">
        <v>19</v>
      </c>
      <c r="B747" s="162" t="s">
        <v>671</v>
      </c>
      <c r="C747" s="162"/>
      <c r="D747" s="162"/>
      <c r="E747" s="162"/>
      <c r="F747" s="162"/>
      <c r="G747" s="162"/>
      <c r="H747" s="162"/>
      <c r="I747" s="162"/>
      <c r="J747" s="162"/>
    </row>
    <row r="748" spans="1:10" ht="15" customHeight="1" x14ac:dyDescent="0.25">
      <c r="A748" s="161"/>
      <c r="B748" s="162"/>
      <c r="C748" s="162"/>
      <c r="D748" s="162"/>
      <c r="E748" s="162"/>
      <c r="F748" s="162"/>
      <c r="G748" s="162"/>
      <c r="H748" s="162"/>
      <c r="I748" s="162"/>
      <c r="J748" s="162"/>
    </row>
    <row r="749" spans="1:10" ht="15" customHeight="1" x14ac:dyDescent="0.25">
      <c r="A749" s="161"/>
      <c r="B749" s="162"/>
      <c r="C749" s="162"/>
      <c r="D749" s="162"/>
      <c r="E749" s="162"/>
      <c r="F749" s="162"/>
      <c r="G749" s="162"/>
      <c r="H749" s="162"/>
      <c r="I749" s="162"/>
      <c r="J749" s="162"/>
    </row>
    <row r="750" spans="1:10" ht="15" customHeight="1" x14ac:dyDescent="0.25">
      <c r="A750" s="161"/>
      <c r="B750" s="162"/>
      <c r="C750" s="162"/>
      <c r="D750" s="162"/>
      <c r="E750" s="162"/>
      <c r="F750" s="162"/>
      <c r="G750" s="162"/>
      <c r="H750" s="162"/>
      <c r="I750" s="162"/>
      <c r="J750" s="162"/>
    </row>
    <row r="758" spans="1:10" ht="15" customHeight="1" x14ac:dyDescent="0.25">
      <c r="A758" s="91"/>
      <c r="B758" s="89"/>
      <c r="C758" s="89"/>
      <c r="D758" s="89"/>
      <c r="E758" s="89"/>
      <c r="F758" s="89"/>
      <c r="G758" s="89"/>
      <c r="H758" s="89"/>
      <c r="I758" s="89"/>
      <c r="J758" s="89"/>
    </row>
    <row r="759" spans="1:10" ht="15" customHeight="1" x14ac:dyDescent="0.25">
      <c r="A759" s="91"/>
      <c r="B759" s="89"/>
      <c r="C759" s="89"/>
      <c r="D759" s="89"/>
      <c r="E759" s="89"/>
      <c r="F759" s="89"/>
      <c r="G759" s="89"/>
      <c r="H759" s="89"/>
      <c r="I759" s="89"/>
      <c r="J759" s="89"/>
    </row>
    <row r="760" spans="1:10" ht="15" customHeight="1" x14ac:dyDescent="0.25">
      <c r="A760" s="91"/>
      <c r="B760" s="89"/>
      <c r="C760" s="89"/>
      <c r="D760" s="89"/>
      <c r="E760" s="89"/>
      <c r="F760" s="89"/>
      <c r="G760" s="89"/>
      <c r="H760" s="89"/>
      <c r="I760" s="89"/>
      <c r="J760" s="89"/>
    </row>
    <row r="761" spans="1:10" ht="15" customHeight="1" x14ac:dyDescent="0.25">
      <c r="A761" s="91"/>
      <c r="B761" s="89"/>
      <c r="C761" s="89"/>
      <c r="D761" s="89"/>
      <c r="E761" s="89"/>
      <c r="F761" s="89"/>
      <c r="G761" s="89"/>
      <c r="H761" s="89"/>
      <c r="I761" s="89"/>
      <c r="J761" s="89"/>
    </row>
    <row r="762" spans="1:10" ht="15" customHeight="1" x14ac:dyDescent="0.25">
      <c r="A762" s="91"/>
      <c r="B762" s="89"/>
      <c r="C762" s="89"/>
      <c r="D762" s="89"/>
      <c r="E762" s="89"/>
      <c r="F762" s="89"/>
      <c r="G762" s="89"/>
      <c r="H762" s="89"/>
      <c r="I762" s="89"/>
      <c r="J762" s="89"/>
    </row>
    <row r="763" spans="1:10" ht="15" customHeight="1" x14ac:dyDescent="0.25">
      <c r="A763" s="91"/>
      <c r="B763" s="89"/>
      <c r="C763" s="89"/>
      <c r="D763" s="89"/>
      <c r="E763" s="89"/>
      <c r="F763" s="89"/>
      <c r="G763" s="89"/>
      <c r="H763" s="89"/>
      <c r="I763" s="89"/>
      <c r="J763" s="89"/>
    </row>
    <row r="764" spans="1:10" ht="15" customHeight="1" x14ac:dyDescent="0.25">
      <c r="A764" s="91"/>
      <c r="B764" s="89"/>
      <c r="C764" s="89"/>
      <c r="D764" s="89"/>
      <c r="E764" s="89"/>
      <c r="F764" s="89"/>
      <c r="G764" s="89"/>
      <c r="H764" s="89"/>
      <c r="I764" s="89"/>
      <c r="J764" s="89"/>
    </row>
    <row r="765" spans="1:10" ht="15" customHeight="1" x14ac:dyDescent="0.25">
      <c r="A765" s="91"/>
      <c r="B765" s="89"/>
      <c r="C765" s="89"/>
      <c r="D765" s="89"/>
      <c r="E765" s="89"/>
      <c r="F765" s="89"/>
      <c r="G765" s="89"/>
      <c r="H765" s="89"/>
      <c r="I765" s="89"/>
      <c r="J765" s="89"/>
    </row>
    <row r="766" spans="1:10" ht="15" customHeight="1" x14ac:dyDescent="0.25">
      <c r="A766" s="91"/>
      <c r="B766" s="89"/>
      <c r="C766" s="89"/>
      <c r="D766" s="89"/>
      <c r="E766" s="89"/>
      <c r="F766" s="89"/>
      <c r="G766" s="89"/>
      <c r="H766" s="89"/>
      <c r="I766" s="89"/>
      <c r="J766" s="89"/>
    </row>
    <row r="767" spans="1:10" ht="15" customHeight="1" x14ac:dyDescent="0.25">
      <c r="A767" s="91"/>
      <c r="B767" s="89"/>
      <c r="C767" s="89"/>
      <c r="D767" s="89"/>
      <c r="E767" s="89"/>
      <c r="F767" s="89"/>
      <c r="G767" s="89"/>
      <c r="H767" s="89"/>
      <c r="I767" s="89"/>
      <c r="J767" s="89"/>
    </row>
    <row r="768" spans="1:10" ht="15" customHeight="1" x14ac:dyDescent="0.25">
      <c r="A768" s="91"/>
      <c r="B768" s="89"/>
      <c r="C768" s="89"/>
      <c r="D768" s="89"/>
      <c r="E768" s="89"/>
      <c r="F768" s="89"/>
      <c r="G768" s="89"/>
      <c r="H768" s="89"/>
      <c r="I768" s="89"/>
      <c r="J768" s="89"/>
    </row>
    <row r="769" spans="1:10" ht="15" customHeight="1" x14ac:dyDescent="0.25">
      <c r="A769" s="91"/>
      <c r="B769" s="89"/>
      <c r="C769" s="89"/>
      <c r="D769" s="89"/>
      <c r="E769" s="89"/>
      <c r="F769" s="89"/>
      <c r="G769" s="89"/>
      <c r="H769" s="89"/>
      <c r="I769" s="89"/>
      <c r="J769" s="89"/>
    </row>
    <row r="770" spans="1:10" ht="15" customHeight="1" x14ac:dyDescent="0.25">
      <c r="A770" s="91"/>
      <c r="B770" s="89"/>
      <c r="C770" s="89"/>
      <c r="D770" s="89"/>
      <c r="E770" s="89"/>
      <c r="F770" s="89"/>
      <c r="G770" s="89"/>
      <c r="H770" s="89"/>
      <c r="I770" s="89"/>
      <c r="J770" s="89"/>
    </row>
    <row r="771" spans="1:10" ht="15" customHeight="1" x14ac:dyDescent="0.25">
      <c r="A771" s="91"/>
      <c r="B771" s="89"/>
      <c r="C771" s="89"/>
      <c r="D771" s="89"/>
      <c r="E771" s="89"/>
      <c r="F771" s="89"/>
      <c r="G771" s="89"/>
      <c r="H771" s="89"/>
      <c r="I771" s="89"/>
      <c r="J771" s="89"/>
    </row>
    <row r="772" spans="1:10" ht="15" customHeight="1" x14ac:dyDescent="0.25">
      <c r="A772" s="91"/>
      <c r="B772" s="89"/>
      <c r="C772" s="89"/>
      <c r="D772" s="89"/>
      <c r="E772" s="89"/>
      <c r="F772" s="89"/>
      <c r="G772" s="89"/>
      <c r="H772" s="89"/>
      <c r="I772" s="89"/>
      <c r="J772" s="89"/>
    </row>
    <row r="773" spans="1:10" ht="15" customHeight="1" x14ac:dyDescent="0.25">
      <c r="A773" s="91"/>
      <c r="B773" s="89"/>
      <c r="C773" s="89"/>
      <c r="D773" s="89"/>
      <c r="E773" s="89"/>
      <c r="F773" s="89"/>
      <c r="G773" s="89"/>
      <c r="H773" s="89"/>
      <c r="I773" s="89"/>
      <c r="J773" s="89"/>
    </row>
    <row r="774" spans="1:10" ht="15" customHeight="1" x14ac:dyDescent="0.25">
      <c r="A774" s="91"/>
      <c r="B774" s="89"/>
      <c r="C774" s="89"/>
      <c r="D774" s="89"/>
      <c r="E774" s="89"/>
      <c r="F774" s="89"/>
      <c r="G774" s="89"/>
      <c r="H774" s="89"/>
      <c r="I774" s="89"/>
      <c r="J774" s="89"/>
    </row>
    <row r="775" spans="1:10" ht="15" customHeight="1" x14ac:dyDescent="0.25">
      <c r="A775" s="91"/>
      <c r="B775" s="89"/>
      <c r="C775" s="89"/>
      <c r="D775" s="89"/>
      <c r="E775" s="89"/>
      <c r="F775" s="89"/>
      <c r="G775" s="89"/>
      <c r="H775" s="89"/>
      <c r="I775" s="89"/>
      <c r="J775" s="89"/>
    </row>
    <row r="776" spans="1:10" ht="15" customHeight="1" x14ac:dyDescent="0.25">
      <c r="A776" s="91"/>
      <c r="B776" s="89"/>
      <c r="C776" s="89"/>
      <c r="D776" s="89"/>
      <c r="E776" s="89"/>
      <c r="F776" s="89"/>
      <c r="G776" s="89"/>
      <c r="H776" s="89"/>
      <c r="I776" s="89"/>
      <c r="J776" s="89"/>
    </row>
    <row r="777" spans="1:10" ht="15" customHeight="1" x14ac:dyDescent="0.25">
      <c r="A777" s="91"/>
      <c r="B777" s="89"/>
      <c r="C777" s="89"/>
      <c r="D777" s="89"/>
      <c r="E777" s="89"/>
      <c r="F777" s="89"/>
      <c r="G777" s="89"/>
      <c r="H777" s="89"/>
      <c r="I777" s="89"/>
      <c r="J777" s="89"/>
    </row>
    <row r="778" spans="1:10" ht="15" customHeight="1" x14ac:dyDescent="0.25">
      <c r="A778" s="91"/>
      <c r="B778" s="89"/>
      <c r="C778" s="89"/>
      <c r="D778" s="89"/>
      <c r="E778" s="89"/>
      <c r="F778" s="89"/>
      <c r="G778" s="89"/>
      <c r="H778" s="89"/>
      <c r="I778" s="89"/>
      <c r="J778" s="89"/>
    </row>
    <row r="779" spans="1:10" ht="15" customHeight="1" x14ac:dyDescent="0.25">
      <c r="A779" s="91"/>
      <c r="B779" s="89"/>
      <c r="C779" s="89"/>
      <c r="D779" s="89"/>
      <c r="E779" s="89"/>
      <c r="F779" s="89"/>
      <c r="G779" s="89"/>
      <c r="H779" s="89"/>
      <c r="I779" s="89"/>
      <c r="J779" s="89"/>
    </row>
    <row r="780" spans="1:10" ht="15" customHeight="1" x14ac:dyDescent="0.25">
      <c r="A780" s="91"/>
      <c r="B780" s="89"/>
      <c r="C780" s="89"/>
      <c r="D780" s="89"/>
      <c r="E780" s="89"/>
      <c r="F780" s="89"/>
      <c r="G780" s="89"/>
      <c r="H780" s="89"/>
      <c r="I780" s="89"/>
      <c r="J780" s="89"/>
    </row>
    <row r="781" spans="1:10" ht="15" customHeight="1" x14ac:dyDescent="0.25">
      <c r="A781" s="91"/>
      <c r="B781" s="89"/>
      <c r="C781" s="89"/>
      <c r="D781" s="89"/>
      <c r="E781" s="89"/>
      <c r="F781" s="89"/>
      <c r="G781" s="89"/>
      <c r="H781" s="89"/>
      <c r="I781" s="89"/>
      <c r="J781" s="89"/>
    </row>
    <row r="782" spans="1:10" ht="15" customHeight="1" x14ac:dyDescent="0.25">
      <c r="A782" s="91"/>
      <c r="B782" s="89"/>
      <c r="C782" s="89"/>
      <c r="D782" s="89"/>
      <c r="E782" s="89"/>
      <c r="F782" s="89"/>
      <c r="G782" s="89"/>
      <c r="H782" s="89"/>
      <c r="I782" s="89"/>
      <c r="J782" s="89"/>
    </row>
    <row r="783" spans="1:10" ht="15" customHeight="1" x14ac:dyDescent="0.25">
      <c r="A783" s="91"/>
      <c r="B783" s="89"/>
      <c r="C783" s="89"/>
      <c r="D783" s="89"/>
      <c r="E783" s="89"/>
      <c r="F783" s="89"/>
      <c r="G783" s="89"/>
      <c r="H783" s="89"/>
      <c r="I783" s="89"/>
      <c r="J783" s="89"/>
    </row>
    <row r="784" spans="1:10" ht="15" customHeight="1" x14ac:dyDescent="0.3">
      <c r="A784" s="203" t="s">
        <v>40</v>
      </c>
      <c r="B784" s="203"/>
      <c r="C784" s="203"/>
      <c r="D784" s="203"/>
      <c r="E784" s="203"/>
      <c r="F784" s="203"/>
      <c r="G784" s="203"/>
      <c r="H784" s="203"/>
      <c r="I784" s="203"/>
      <c r="J784" s="203"/>
    </row>
    <row r="785" spans="1:34" ht="15" customHeight="1" x14ac:dyDescent="0.25">
      <c r="A785" s="204" t="s">
        <v>141</v>
      </c>
      <c r="B785" s="204"/>
      <c r="C785" s="204"/>
      <c r="D785" s="204"/>
      <c r="E785" s="204"/>
      <c r="F785" s="204" t="str">
        <f>E28</f>
        <v>LAND MARK</v>
      </c>
      <c r="G785" s="204"/>
      <c r="H785" s="204"/>
      <c r="I785" s="204"/>
      <c r="J785" s="204"/>
    </row>
    <row r="786" spans="1:34" ht="15" customHeight="1" x14ac:dyDescent="0.25">
      <c r="A786" s="204"/>
      <c r="B786" s="204"/>
      <c r="C786" s="204"/>
      <c r="D786" s="204"/>
      <c r="E786" s="204"/>
      <c r="F786" s="204"/>
      <c r="G786" s="204"/>
      <c r="H786" s="204"/>
      <c r="I786" s="204"/>
      <c r="J786" s="204"/>
    </row>
    <row r="787" spans="1:34" ht="15" customHeight="1" x14ac:dyDescent="0.25">
      <c r="A787" s="204"/>
      <c r="B787" s="204"/>
      <c r="C787" s="204"/>
      <c r="D787" s="204"/>
      <c r="E787" s="204"/>
      <c r="F787" s="204"/>
      <c r="G787" s="204"/>
      <c r="H787" s="204"/>
      <c r="I787" s="204"/>
      <c r="J787" s="204"/>
    </row>
    <row r="788" spans="1:34" ht="15" customHeight="1" x14ac:dyDescent="0.25">
      <c r="A788" s="204"/>
      <c r="B788" s="204"/>
      <c r="C788" s="204"/>
      <c r="D788" s="204"/>
      <c r="E788" s="204"/>
      <c r="F788" s="204"/>
      <c r="G788" s="204"/>
      <c r="H788" s="204"/>
      <c r="I788" s="204"/>
      <c r="J788" s="204"/>
    </row>
    <row r="789" spans="1:34" ht="15" customHeight="1" x14ac:dyDescent="0.25">
      <c r="A789" s="204"/>
      <c r="B789" s="204"/>
      <c r="C789" s="204"/>
      <c r="D789" s="204"/>
      <c r="E789" s="204"/>
      <c r="F789" s="204"/>
      <c r="G789" s="204"/>
      <c r="H789" s="204"/>
      <c r="I789" s="204"/>
      <c r="J789" s="204"/>
    </row>
    <row r="790" spans="1:34" ht="15" customHeight="1" x14ac:dyDescent="0.25">
      <c r="A790" s="204"/>
      <c r="B790" s="204"/>
      <c r="C790" s="204"/>
      <c r="D790" s="204"/>
      <c r="E790" s="204"/>
      <c r="F790" s="204"/>
      <c r="G790" s="204"/>
      <c r="H790" s="204"/>
      <c r="I790" s="204"/>
      <c r="J790" s="204"/>
    </row>
    <row r="797" spans="1:34" ht="6.95" customHeight="1" x14ac:dyDescent="0.25"/>
    <row r="798" spans="1:34" s="8" customFormat="1" ht="30" customHeight="1" x14ac:dyDescent="0.25">
      <c r="U798" s="34"/>
      <c r="Z798" s="78"/>
      <c r="AA798" s="34"/>
      <c r="AB798" s="34"/>
      <c r="AH798" s="121"/>
    </row>
    <row r="799" spans="1:34" s="8" customFormat="1" ht="30" customHeight="1" x14ac:dyDescent="0.25">
      <c r="U799" s="34"/>
      <c r="Z799" s="78"/>
      <c r="AA799" s="34"/>
      <c r="AB799" s="34"/>
      <c r="AH799" s="121"/>
    </row>
    <row r="800" spans="1:34" s="8" customFormat="1" ht="30" customHeight="1" x14ac:dyDescent="0.25">
      <c r="U800" s="34"/>
      <c r="Z800" s="78"/>
      <c r="AA800" s="34"/>
      <c r="AB800" s="34"/>
      <c r="AH800" s="121"/>
    </row>
    <row r="801" spans="21:34" s="8" customFormat="1" ht="30" customHeight="1" x14ac:dyDescent="0.25">
      <c r="U801" s="34"/>
      <c r="Z801" s="78"/>
      <c r="AA801" s="34"/>
      <c r="AB801" s="34"/>
      <c r="AH801" s="121"/>
    </row>
    <row r="802" spans="21:34" s="8" customFormat="1" ht="30" customHeight="1" x14ac:dyDescent="0.25">
      <c r="U802" s="34"/>
      <c r="Z802" s="78"/>
      <c r="AA802" s="34"/>
      <c r="AB802" s="34"/>
      <c r="AH802" s="121"/>
    </row>
    <row r="803" spans="21:34" s="8" customFormat="1" ht="30" customHeight="1" x14ac:dyDescent="0.25">
      <c r="U803" s="34"/>
      <c r="Z803" s="78"/>
      <c r="AA803" s="34"/>
      <c r="AB803" s="34"/>
      <c r="AH803" s="121"/>
    </row>
    <row r="804" spans="21:34" s="8" customFormat="1" ht="30" customHeight="1" x14ac:dyDescent="0.25">
      <c r="U804" s="34"/>
      <c r="Z804" s="78"/>
      <c r="AA804" s="34"/>
      <c r="AB804" s="34"/>
      <c r="AH804" s="121"/>
    </row>
    <row r="805" spans="21:34" s="8" customFormat="1" ht="30" customHeight="1" x14ac:dyDescent="0.25">
      <c r="U805" s="34"/>
      <c r="Z805" s="78"/>
      <c r="AA805" s="34"/>
      <c r="AB805" s="34"/>
      <c r="AH805" s="121"/>
    </row>
    <row r="806" spans="21:34" s="8" customFormat="1" ht="30" customHeight="1" x14ac:dyDescent="0.25">
      <c r="U806" s="34"/>
      <c r="Z806" s="78"/>
      <c r="AA806" s="34"/>
      <c r="AB806" s="34"/>
      <c r="AH806" s="121"/>
    </row>
    <row r="807" spans="21:34" s="8" customFormat="1" ht="30" customHeight="1" x14ac:dyDescent="0.25">
      <c r="U807" s="34"/>
      <c r="Z807" s="78"/>
      <c r="AA807" s="34"/>
      <c r="AB807" s="34"/>
      <c r="AH807" s="121"/>
    </row>
    <row r="808" spans="21:34" s="8" customFormat="1" ht="30" customHeight="1" x14ac:dyDescent="0.25">
      <c r="U808" s="34"/>
      <c r="Z808" s="78"/>
      <c r="AA808" s="34"/>
      <c r="AB808" s="34"/>
      <c r="AH808" s="121"/>
    </row>
    <row r="811" spans="21:34" ht="6.95" customHeight="1" x14ac:dyDescent="0.25"/>
    <row r="812" spans="21:34" s="33" customFormat="1" ht="30" customHeight="1" x14ac:dyDescent="0.25"/>
    <row r="813" spans="21:34" s="33" customFormat="1" ht="20.100000000000001" customHeight="1" x14ac:dyDescent="0.25"/>
    <row r="814" spans="21:34" s="33" customFormat="1" ht="20.100000000000001" customHeight="1" x14ac:dyDescent="0.25"/>
    <row r="815" spans="21:34" s="33" customFormat="1" ht="20.100000000000001" customHeight="1" x14ac:dyDescent="0.25"/>
    <row r="816" spans="21:34" s="33" customFormat="1" ht="20.100000000000001" customHeight="1" x14ac:dyDescent="0.25"/>
    <row r="817" s="33" customFormat="1" ht="20.100000000000001" customHeight="1" x14ac:dyDescent="0.25"/>
    <row r="818" s="33" customFormat="1" ht="20.100000000000001" customHeight="1" x14ac:dyDescent="0.25"/>
    <row r="819" s="33" customFormat="1" ht="20.100000000000001" customHeight="1" x14ac:dyDescent="0.25"/>
    <row r="820" s="33" customFormat="1" ht="20.100000000000001" customHeight="1" x14ac:dyDescent="0.25"/>
    <row r="821" s="33" customFormat="1" ht="20.100000000000001" customHeight="1" x14ac:dyDescent="0.25"/>
    <row r="822" s="33" customFormat="1" ht="20.100000000000001" customHeight="1" x14ac:dyDescent="0.25"/>
    <row r="823" s="33" customFormat="1" ht="20.100000000000001" customHeight="1" x14ac:dyDescent="0.25"/>
    <row r="824" s="33" customFormat="1" ht="20.100000000000001" customHeight="1" x14ac:dyDescent="0.25"/>
    <row r="825" s="33" customFormat="1" ht="20.100000000000001" customHeight="1" x14ac:dyDescent="0.25"/>
    <row r="826" s="33" customFormat="1" ht="20.100000000000001" customHeight="1" x14ac:dyDescent="0.25"/>
    <row r="827" s="33" customFormat="1" ht="20.100000000000001" customHeight="1" x14ac:dyDescent="0.25"/>
    <row r="828" s="33" customFormat="1" ht="20.100000000000001" customHeight="1" x14ac:dyDescent="0.25"/>
    <row r="829" s="33" customFormat="1" ht="20.100000000000001" customHeight="1" x14ac:dyDescent="0.25"/>
    <row r="830" s="33" customFormat="1" ht="20.100000000000001" customHeight="1" x14ac:dyDescent="0.25"/>
    <row r="831" s="33" customFormat="1" ht="20.100000000000001" customHeight="1" x14ac:dyDescent="0.25"/>
    <row r="832" s="33" customFormat="1" ht="20.100000000000001" customHeight="1" x14ac:dyDescent="0.25"/>
    <row r="833" s="33" customFormat="1" ht="20.100000000000001" customHeight="1" x14ac:dyDescent="0.25"/>
    <row r="834" s="33" customFormat="1" ht="20.100000000000001" customHeight="1" x14ac:dyDescent="0.25"/>
    <row r="835" s="33" customFormat="1" ht="20.100000000000001" customHeight="1" x14ac:dyDescent="0.25"/>
    <row r="836" s="33" customFormat="1" ht="20.100000000000001" customHeight="1" x14ac:dyDescent="0.25"/>
    <row r="837" s="33" customFormat="1" ht="20.100000000000001" customHeight="1" x14ac:dyDescent="0.25"/>
    <row r="838" ht="20.100000000000001" customHeight="1" x14ac:dyDescent="0.25"/>
    <row r="839" ht="20.100000000000001" customHeight="1" x14ac:dyDescent="0.25"/>
    <row r="840" ht="20.100000000000001" customHeight="1" x14ac:dyDescent="0.25"/>
    <row r="841" ht="20.100000000000001" customHeight="1" x14ac:dyDescent="0.25"/>
    <row r="842" ht="20.100000000000001" customHeight="1" x14ac:dyDescent="0.25"/>
  </sheetData>
  <mergeCells count="710">
    <mergeCell ref="G568:H568"/>
    <mergeCell ref="G559:H559"/>
    <mergeCell ref="G560:H560"/>
    <mergeCell ref="G561:H561"/>
    <mergeCell ref="G562:H562"/>
    <mergeCell ref="G563:H563"/>
    <mergeCell ref="G564:H564"/>
    <mergeCell ref="G565:H565"/>
    <mergeCell ref="G566:H566"/>
    <mergeCell ref="G567:H567"/>
    <mergeCell ref="D561:E561"/>
    <mergeCell ref="D562:E562"/>
    <mergeCell ref="D563:E563"/>
    <mergeCell ref="D564:E564"/>
    <mergeCell ref="D565:E565"/>
    <mergeCell ref="D566:E566"/>
    <mergeCell ref="D567:E567"/>
    <mergeCell ref="D568:E568"/>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D552:E552"/>
    <mergeCell ref="D553:E553"/>
    <mergeCell ref="D554:E554"/>
    <mergeCell ref="D555:E555"/>
    <mergeCell ref="D556:E556"/>
    <mergeCell ref="D557:E557"/>
    <mergeCell ref="D558:E558"/>
    <mergeCell ref="D559:E559"/>
    <mergeCell ref="D560:E560"/>
    <mergeCell ref="D543:E543"/>
    <mergeCell ref="D544:E544"/>
    <mergeCell ref="D545:E545"/>
    <mergeCell ref="D546:E546"/>
    <mergeCell ref="D547:E547"/>
    <mergeCell ref="D548:E548"/>
    <mergeCell ref="D549:E549"/>
    <mergeCell ref="D550:E550"/>
    <mergeCell ref="D551:E551"/>
    <mergeCell ref="A538:C538"/>
    <mergeCell ref="D538:E538"/>
    <mergeCell ref="F538:G538"/>
    <mergeCell ref="H538:J538"/>
    <mergeCell ref="A539:C539"/>
    <mergeCell ref="D539:E539"/>
    <mergeCell ref="F539:G539"/>
    <mergeCell ref="H539:J539"/>
    <mergeCell ref="A541:J541"/>
    <mergeCell ref="A534:C534"/>
    <mergeCell ref="D534:E534"/>
    <mergeCell ref="F534:G534"/>
    <mergeCell ref="H534:J534"/>
    <mergeCell ref="A535:C535"/>
    <mergeCell ref="D535:E535"/>
    <mergeCell ref="F535:G535"/>
    <mergeCell ref="H535:J535"/>
    <mergeCell ref="A537:C537"/>
    <mergeCell ref="D537:E537"/>
    <mergeCell ref="F537:G537"/>
    <mergeCell ref="H537:J537"/>
    <mergeCell ref="A536:C536"/>
    <mergeCell ref="D536:E536"/>
    <mergeCell ref="F536:G536"/>
    <mergeCell ref="H536:J536"/>
    <mergeCell ref="A530:C530"/>
    <mergeCell ref="D530:E530"/>
    <mergeCell ref="F530:G530"/>
    <mergeCell ref="H530:J530"/>
    <mergeCell ref="A531:C531"/>
    <mergeCell ref="D531:E531"/>
    <mergeCell ref="F531:G531"/>
    <mergeCell ref="H531:J531"/>
    <mergeCell ref="A533:C533"/>
    <mergeCell ref="D533:E533"/>
    <mergeCell ref="F533:G533"/>
    <mergeCell ref="H533:J533"/>
    <mergeCell ref="A532:C532"/>
    <mergeCell ref="D532:E532"/>
    <mergeCell ref="F532:G532"/>
    <mergeCell ref="H532:J532"/>
    <mergeCell ref="A526:J526"/>
    <mergeCell ref="A528:C528"/>
    <mergeCell ref="D528:E528"/>
    <mergeCell ref="F528:G528"/>
    <mergeCell ref="H528:J528"/>
    <mergeCell ref="A529:C529"/>
    <mergeCell ref="D529:E529"/>
    <mergeCell ref="F529:G529"/>
    <mergeCell ref="H529:J529"/>
    <mergeCell ref="A527:J527"/>
    <mergeCell ref="F195:H213"/>
    <mergeCell ref="A110:A111"/>
    <mergeCell ref="H114:J114"/>
    <mergeCell ref="B115:D115"/>
    <mergeCell ref="B112:D112"/>
    <mergeCell ref="E112:G112"/>
    <mergeCell ref="H112:J112"/>
    <mergeCell ref="B113:D113"/>
    <mergeCell ref="E113:G113"/>
    <mergeCell ref="E116:G116"/>
    <mergeCell ref="H116:J116"/>
    <mergeCell ref="B110:D110"/>
    <mergeCell ref="E110:G110"/>
    <mergeCell ref="H110:J110"/>
    <mergeCell ref="E115:G115"/>
    <mergeCell ref="H115:J115"/>
    <mergeCell ref="H118:J118"/>
    <mergeCell ref="E118:G118"/>
    <mergeCell ref="B118:D118"/>
    <mergeCell ref="B116:D116"/>
    <mergeCell ref="A164:A182"/>
    <mergeCell ref="I183:I194"/>
    <mergeCell ref="F164:H182"/>
    <mergeCell ref="F183:H194"/>
    <mergeCell ref="B124:C124"/>
    <mergeCell ref="D124:E124"/>
    <mergeCell ref="F124:H124"/>
    <mergeCell ref="B111:D111"/>
    <mergeCell ref="E111:G111"/>
    <mergeCell ref="H111:J111"/>
    <mergeCell ref="B104:D104"/>
    <mergeCell ref="E104:G104"/>
    <mergeCell ref="H104:J104"/>
    <mergeCell ref="B105:D105"/>
    <mergeCell ref="E105:G105"/>
    <mergeCell ref="H105:J105"/>
    <mergeCell ref="B106:D106"/>
    <mergeCell ref="E106:G106"/>
    <mergeCell ref="H106:J106"/>
    <mergeCell ref="B114:D114"/>
    <mergeCell ref="E114:G114"/>
    <mergeCell ref="H113:J113"/>
    <mergeCell ref="B107:D107"/>
    <mergeCell ref="E107:G107"/>
    <mergeCell ref="H107:J107"/>
    <mergeCell ref="B108:D108"/>
    <mergeCell ref="E108:G108"/>
    <mergeCell ref="A97:J97"/>
    <mergeCell ref="B99:D99"/>
    <mergeCell ref="E99:G99"/>
    <mergeCell ref="H99:J99"/>
    <mergeCell ref="B100:D100"/>
    <mergeCell ref="E100:G100"/>
    <mergeCell ref="H100:J100"/>
    <mergeCell ref="A103:A106"/>
    <mergeCell ref="A107:A109"/>
    <mergeCell ref="H102:J102"/>
    <mergeCell ref="B103:D103"/>
    <mergeCell ref="E103:G103"/>
    <mergeCell ref="H103:J103"/>
    <mergeCell ref="H108:J108"/>
    <mergeCell ref="H109:J109"/>
    <mergeCell ref="B109:D109"/>
    <mergeCell ref="E109:G109"/>
    <mergeCell ref="B299:J299"/>
    <mergeCell ref="B306:J306"/>
    <mergeCell ref="B304:D304"/>
    <mergeCell ref="E304:F304"/>
    <mergeCell ref="G304:J304"/>
    <mergeCell ref="B297:D297"/>
    <mergeCell ref="E297:F297"/>
    <mergeCell ref="G297:J297"/>
    <mergeCell ref="B300:D300"/>
    <mergeCell ref="E300:F300"/>
    <mergeCell ref="G300:J300"/>
    <mergeCell ref="B296:D296"/>
    <mergeCell ref="E296:F296"/>
    <mergeCell ref="G296:J296"/>
    <mergeCell ref="B291:D291"/>
    <mergeCell ref="E291:F291"/>
    <mergeCell ref="F275:H277"/>
    <mergeCell ref="B288:J288"/>
    <mergeCell ref="E294:F294"/>
    <mergeCell ref="G294:J294"/>
    <mergeCell ref="B294:D294"/>
    <mergeCell ref="A285:J285"/>
    <mergeCell ref="B295:D295"/>
    <mergeCell ref="E295:F295"/>
    <mergeCell ref="G295:J295"/>
    <mergeCell ref="B289:D289"/>
    <mergeCell ref="E289:F289"/>
    <mergeCell ref="G289:J289"/>
    <mergeCell ref="B290:D290"/>
    <mergeCell ref="E290:F290"/>
    <mergeCell ref="G290:J290"/>
    <mergeCell ref="G291:J291"/>
    <mergeCell ref="B292:D292"/>
    <mergeCell ref="E292:F292"/>
    <mergeCell ref="G292:J292"/>
    <mergeCell ref="B293:D293"/>
    <mergeCell ref="E293:F293"/>
    <mergeCell ref="B330:J330"/>
    <mergeCell ref="B335:J335"/>
    <mergeCell ref="B340:J340"/>
    <mergeCell ref="B328:D328"/>
    <mergeCell ref="E328:F328"/>
    <mergeCell ref="G328:J328"/>
    <mergeCell ref="A322:J322"/>
    <mergeCell ref="A305:J305"/>
    <mergeCell ref="A298:J298"/>
    <mergeCell ref="E336:F336"/>
    <mergeCell ref="G336:J336"/>
    <mergeCell ref="B337:D337"/>
    <mergeCell ref="E337:F337"/>
    <mergeCell ref="G337:J337"/>
    <mergeCell ref="B324:D324"/>
    <mergeCell ref="E324:F324"/>
    <mergeCell ref="G324:J324"/>
    <mergeCell ref="B325:D325"/>
    <mergeCell ref="B326:D326"/>
    <mergeCell ref="E326:F326"/>
    <mergeCell ref="G326:J326"/>
    <mergeCell ref="E325:F325"/>
    <mergeCell ref="A334:J334"/>
    <mergeCell ref="A329:J329"/>
    <mergeCell ref="B338:D338"/>
    <mergeCell ref="E338:F338"/>
    <mergeCell ref="G338:J338"/>
    <mergeCell ref="B332:D332"/>
    <mergeCell ref="E332:F332"/>
    <mergeCell ref="G332:J332"/>
    <mergeCell ref="B333:D333"/>
    <mergeCell ref="E333:F333"/>
    <mergeCell ref="G333:J333"/>
    <mergeCell ref="B331:D331"/>
    <mergeCell ref="E331:F331"/>
    <mergeCell ref="G331:J331"/>
    <mergeCell ref="G342:J342"/>
    <mergeCell ref="B336:D336"/>
    <mergeCell ref="B347:D347"/>
    <mergeCell ref="E347:F347"/>
    <mergeCell ref="G347:J347"/>
    <mergeCell ref="B345:D345"/>
    <mergeCell ref="E345:F345"/>
    <mergeCell ref="G345:J345"/>
    <mergeCell ref="B346:D346"/>
    <mergeCell ref="E346:F346"/>
    <mergeCell ref="G346:J346"/>
    <mergeCell ref="B344:J344"/>
    <mergeCell ref="A343:J343"/>
    <mergeCell ref="A339:J339"/>
    <mergeCell ref="B341:D341"/>
    <mergeCell ref="E341:F341"/>
    <mergeCell ref="G341:J341"/>
    <mergeCell ref="B342:D342"/>
    <mergeCell ref="E342:F342"/>
    <mergeCell ref="E318:F318"/>
    <mergeCell ref="G318:J318"/>
    <mergeCell ref="B319:D319"/>
    <mergeCell ref="E319:F319"/>
    <mergeCell ref="G319:J319"/>
    <mergeCell ref="E327:F327"/>
    <mergeCell ref="G327:J327"/>
    <mergeCell ref="B320:D320"/>
    <mergeCell ref="E320:F320"/>
    <mergeCell ref="G320:J320"/>
    <mergeCell ref="B321:D321"/>
    <mergeCell ref="E321:F321"/>
    <mergeCell ref="G321:J321"/>
    <mergeCell ref="B323:J323"/>
    <mergeCell ref="G325:J325"/>
    <mergeCell ref="B327:D327"/>
    <mergeCell ref="A287:J287"/>
    <mergeCell ref="A284:J284"/>
    <mergeCell ref="B286:D286"/>
    <mergeCell ref="E286:F286"/>
    <mergeCell ref="G286:J286"/>
    <mergeCell ref="A228:A236"/>
    <mergeCell ref="B228:C236"/>
    <mergeCell ref="D228:E236"/>
    <mergeCell ref="F228:H236"/>
    <mergeCell ref="A254:A260"/>
    <mergeCell ref="F267:H274"/>
    <mergeCell ref="A267:A274"/>
    <mergeCell ref="B267:C274"/>
    <mergeCell ref="D267:E274"/>
    <mergeCell ref="I275:I277"/>
    <mergeCell ref="J275:J277"/>
    <mergeCell ref="A261:A266"/>
    <mergeCell ref="I228:I236"/>
    <mergeCell ref="I267:I274"/>
    <mergeCell ref="J267:J274"/>
    <mergeCell ref="D237:E246"/>
    <mergeCell ref="F237:H246"/>
    <mergeCell ref="A453:H454"/>
    <mergeCell ref="I453:J454"/>
    <mergeCell ref="C465:E465"/>
    <mergeCell ref="F465:J465"/>
    <mergeCell ref="A466:B466"/>
    <mergeCell ref="C466:E466"/>
    <mergeCell ref="B214:C220"/>
    <mergeCell ref="D214:E220"/>
    <mergeCell ref="F214:H220"/>
    <mergeCell ref="I214:I220"/>
    <mergeCell ref="J214:J220"/>
    <mergeCell ref="B261:C266"/>
    <mergeCell ref="D261:E266"/>
    <mergeCell ref="F261:H266"/>
    <mergeCell ref="I261:I266"/>
    <mergeCell ref="J261:J266"/>
    <mergeCell ref="B254:C260"/>
    <mergeCell ref="D254:E260"/>
    <mergeCell ref="F254:H260"/>
    <mergeCell ref="I254:I260"/>
    <mergeCell ref="J254:J260"/>
    <mergeCell ref="B247:C253"/>
    <mergeCell ref="F464:J464"/>
    <mergeCell ref="G293:J293"/>
    <mergeCell ref="A467:B467"/>
    <mergeCell ref="C467:E467"/>
    <mergeCell ref="B275:C277"/>
    <mergeCell ref="D275:E277"/>
    <mergeCell ref="A450:B452"/>
    <mergeCell ref="C438:D440"/>
    <mergeCell ref="G438:H440"/>
    <mergeCell ref="I438:J440"/>
    <mergeCell ref="I441:J443"/>
    <mergeCell ref="B307:D307"/>
    <mergeCell ref="E307:F307"/>
    <mergeCell ref="G307:J307"/>
    <mergeCell ref="B301:D301"/>
    <mergeCell ref="E301:F301"/>
    <mergeCell ref="G301:J301"/>
    <mergeCell ref="B302:D302"/>
    <mergeCell ref="E302:F302"/>
    <mergeCell ref="G302:J302"/>
    <mergeCell ref="B303:D303"/>
    <mergeCell ref="E303:F303"/>
    <mergeCell ref="G303:J303"/>
    <mergeCell ref="B308:D308"/>
    <mergeCell ref="E308:F308"/>
    <mergeCell ref="C463:E463"/>
    <mergeCell ref="F463:J463"/>
    <mergeCell ref="A460:B460"/>
    <mergeCell ref="A461:B461"/>
    <mergeCell ref="C461:E461"/>
    <mergeCell ref="F461:J461"/>
    <mergeCell ref="A462:B462"/>
    <mergeCell ref="C462:E462"/>
    <mergeCell ref="F462:J462"/>
    <mergeCell ref="A67:J67"/>
    <mergeCell ref="A68:J68"/>
    <mergeCell ref="B195:C213"/>
    <mergeCell ref="D195:E213"/>
    <mergeCell ref="I195:I213"/>
    <mergeCell ref="A152:A163"/>
    <mergeCell ref="B139:C151"/>
    <mergeCell ref="J139:J151"/>
    <mergeCell ref="I139:I151"/>
    <mergeCell ref="A195:A213"/>
    <mergeCell ref="B152:C163"/>
    <mergeCell ref="D152:E163"/>
    <mergeCell ref="F152:H163"/>
    <mergeCell ref="I152:I163"/>
    <mergeCell ref="A183:A194"/>
    <mergeCell ref="B183:C194"/>
    <mergeCell ref="E316:F316"/>
    <mergeCell ref="G316:J316"/>
    <mergeCell ref="B317:D317"/>
    <mergeCell ref="E317:F317"/>
    <mergeCell ref="G317:J317"/>
    <mergeCell ref="B318:D318"/>
    <mergeCell ref="A522:A524"/>
    <mergeCell ref="D501:H501"/>
    <mergeCell ref="B502:C503"/>
    <mergeCell ref="D502:H503"/>
    <mergeCell ref="B504:C505"/>
    <mergeCell ref="D504:H505"/>
    <mergeCell ref="B506:C507"/>
    <mergeCell ref="D506:H507"/>
    <mergeCell ref="B508:C509"/>
    <mergeCell ref="D508:H509"/>
    <mergeCell ref="B522:J524"/>
    <mergeCell ref="I512:J514"/>
    <mergeCell ref="A512:A514"/>
    <mergeCell ref="B512:C514"/>
    <mergeCell ref="D512:H514"/>
    <mergeCell ref="A502:A503"/>
    <mergeCell ref="A510:A511"/>
    <mergeCell ref="I504:J505"/>
    <mergeCell ref="A468:B468"/>
    <mergeCell ref="C468:E468"/>
    <mergeCell ref="F468:J468"/>
    <mergeCell ref="A465:B465"/>
    <mergeCell ref="A429:A430"/>
    <mergeCell ref="B429:D430"/>
    <mergeCell ref="E429:E430"/>
    <mergeCell ref="F429:F430"/>
    <mergeCell ref="G429:H430"/>
    <mergeCell ref="I429:J430"/>
    <mergeCell ref="A431:A432"/>
    <mergeCell ref="B431:D432"/>
    <mergeCell ref="E431:E432"/>
    <mergeCell ref="F431:F432"/>
    <mergeCell ref="G431:H432"/>
    <mergeCell ref="I431:J432"/>
    <mergeCell ref="E433:H434"/>
    <mergeCell ref="A433:D434"/>
    <mergeCell ref="I433:J434"/>
    <mergeCell ref="A464:B464"/>
    <mergeCell ref="C464:E464"/>
    <mergeCell ref="F467:J467"/>
    <mergeCell ref="A459:E459"/>
    <mergeCell ref="A463:B463"/>
    <mergeCell ref="I450:J452"/>
    <mergeCell ref="F459:J459"/>
    <mergeCell ref="A455:H455"/>
    <mergeCell ref="I455:J455"/>
    <mergeCell ref="C441:D443"/>
    <mergeCell ref="F466:J466"/>
    <mergeCell ref="C447:D449"/>
    <mergeCell ref="C450:D452"/>
    <mergeCell ref="E441:F443"/>
    <mergeCell ref="E444:F446"/>
    <mergeCell ref="E447:F449"/>
    <mergeCell ref="E450:F452"/>
    <mergeCell ref="G441:H443"/>
    <mergeCell ref="G444:H446"/>
    <mergeCell ref="G447:H449"/>
    <mergeCell ref="G450:H452"/>
    <mergeCell ref="I458:J458"/>
    <mergeCell ref="A458:E458"/>
    <mergeCell ref="G458:H458"/>
    <mergeCell ref="A457:H457"/>
    <mergeCell ref="I457:J457"/>
    <mergeCell ref="A456:H456"/>
    <mergeCell ref="I456:J456"/>
    <mergeCell ref="C444:D446"/>
    <mergeCell ref="A476:J476"/>
    <mergeCell ref="A478:C478"/>
    <mergeCell ref="F478:G478"/>
    <mergeCell ref="I478:J478"/>
    <mergeCell ref="A469:B469"/>
    <mergeCell ref="C469:E469"/>
    <mergeCell ref="F469:J469"/>
    <mergeCell ref="A470:B470"/>
    <mergeCell ref="C470:E470"/>
    <mergeCell ref="F470:J470"/>
    <mergeCell ref="F472:J472"/>
    <mergeCell ref="F473:J473"/>
    <mergeCell ref="F474:J474"/>
    <mergeCell ref="F475:J475"/>
    <mergeCell ref="A471:B471"/>
    <mergeCell ref="C471:E471"/>
    <mergeCell ref="F471:J471"/>
    <mergeCell ref="I502:J503"/>
    <mergeCell ref="B510:C511"/>
    <mergeCell ref="D510:H511"/>
    <mergeCell ref="F483:J483"/>
    <mergeCell ref="A496:A497"/>
    <mergeCell ref="B496:J497"/>
    <mergeCell ref="A499:J499"/>
    <mergeCell ref="A479:C479"/>
    <mergeCell ref="A480:C480"/>
    <mergeCell ref="F480:G480"/>
    <mergeCell ref="H480:I480"/>
    <mergeCell ref="A481:C481"/>
    <mergeCell ref="A482:C482"/>
    <mergeCell ref="D482:E482"/>
    <mergeCell ref="F482:G482"/>
    <mergeCell ref="H482:I482"/>
    <mergeCell ref="A508:A509"/>
    <mergeCell ref="I508:J509"/>
    <mergeCell ref="I510:J511"/>
    <mergeCell ref="B501:C501"/>
    <mergeCell ref="A506:A507"/>
    <mergeCell ref="I506:J507"/>
    <mergeCell ref="A617:A619"/>
    <mergeCell ref="C436:D437"/>
    <mergeCell ref="E436:F437"/>
    <mergeCell ref="B617:J619"/>
    <mergeCell ref="A483:E483"/>
    <mergeCell ref="I501:J501"/>
    <mergeCell ref="I515:J517"/>
    <mergeCell ref="A515:A517"/>
    <mergeCell ref="A518:A519"/>
    <mergeCell ref="I518:J519"/>
    <mergeCell ref="A520:A521"/>
    <mergeCell ref="I520:J521"/>
    <mergeCell ref="B515:C517"/>
    <mergeCell ref="D515:H517"/>
    <mergeCell ref="B518:C519"/>
    <mergeCell ref="D518:H519"/>
    <mergeCell ref="B520:C521"/>
    <mergeCell ref="D520:H521"/>
    <mergeCell ref="A504:A505"/>
    <mergeCell ref="A609:J609"/>
    <mergeCell ref="A610:A611"/>
    <mergeCell ref="B610:J611"/>
    <mergeCell ref="A612:A616"/>
    <mergeCell ref="B612:J616"/>
    <mergeCell ref="A784:J784"/>
    <mergeCell ref="A785:E790"/>
    <mergeCell ref="F785:J790"/>
    <mergeCell ref="A646:A650"/>
    <mergeCell ref="B646:J650"/>
    <mergeCell ref="B620:J622"/>
    <mergeCell ref="A623:A625"/>
    <mergeCell ref="B623:J625"/>
    <mergeCell ref="A641:A642"/>
    <mergeCell ref="B641:J642"/>
    <mergeCell ref="A643:A645"/>
    <mergeCell ref="B643:J645"/>
    <mergeCell ref="A632:A634"/>
    <mergeCell ref="B632:J634"/>
    <mergeCell ref="A635:A637"/>
    <mergeCell ref="B635:J637"/>
    <mergeCell ref="A638:A640"/>
    <mergeCell ref="B638:J640"/>
    <mergeCell ref="A620:A622"/>
    <mergeCell ref="A626:A631"/>
    <mergeCell ref="B626:J631"/>
    <mergeCell ref="B654:J661"/>
    <mergeCell ref="A654:A661"/>
    <mergeCell ref="B662:J682"/>
    <mergeCell ref="A12:J19"/>
    <mergeCell ref="B42:D43"/>
    <mergeCell ref="E32:F33"/>
    <mergeCell ref="E34:I35"/>
    <mergeCell ref="B164:C182"/>
    <mergeCell ref="D164:E182"/>
    <mergeCell ref="I164:I182"/>
    <mergeCell ref="J164:J182"/>
    <mergeCell ref="J125:J138"/>
    <mergeCell ref="D23:J24"/>
    <mergeCell ref="A23:C24"/>
    <mergeCell ref="B26:D27"/>
    <mergeCell ref="B28:D29"/>
    <mergeCell ref="B30:D31"/>
    <mergeCell ref="B38:D41"/>
    <mergeCell ref="E26:I27"/>
    <mergeCell ref="E28:I29"/>
    <mergeCell ref="E36:I37"/>
    <mergeCell ref="E42:I43"/>
    <mergeCell ref="E30:G30"/>
    <mergeCell ref="B36:D37"/>
    <mergeCell ref="B34:D35"/>
    <mergeCell ref="A49:J49"/>
    <mergeCell ref="H30:I30"/>
    <mergeCell ref="E31:G31"/>
    <mergeCell ref="H31:I31"/>
    <mergeCell ref="E38:G38"/>
    <mergeCell ref="E39:G39"/>
    <mergeCell ref="E40:G40"/>
    <mergeCell ref="H38:I38"/>
    <mergeCell ref="H39:I39"/>
    <mergeCell ref="H40:I40"/>
    <mergeCell ref="B32:D33"/>
    <mergeCell ref="B44:D45"/>
    <mergeCell ref="A20:J22"/>
    <mergeCell ref="E44:I45"/>
    <mergeCell ref="D125:E138"/>
    <mergeCell ref="F125:H138"/>
    <mergeCell ref="I125:I138"/>
    <mergeCell ref="A281:A283"/>
    <mergeCell ref="B281:C283"/>
    <mergeCell ref="D281:E283"/>
    <mergeCell ref="F281:H283"/>
    <mergeCell ref="I281:I283"/>
    <mergeCell ref="J281:J283"/>
    <mergeCell ref="A237:A246"/>
    <mergeCell ref="D247:E253"/>
    <mergeCell ref="F247:H253"/>
    <mergeCell ref="I247:I253"/>
    <mergeCell ref="J247:J253"/>
    <mergeCell ref="A275:A277"/>
    <mergeCell ref="A278:A280"/>
    <mergeCell ref="B278:C280"/>
    <mergeCell ref="D278:E280"/>
    <mergeCell ref="F278:H280"/>
    <mergeCell ref="I278:I280"/>
    <mergeCell ref="J278:J280"/>
    <mergeCell ref="A438:B440"/>
    <mergeCell ref="A394:J404"/>
    <mergeCell ref="A405:J405"/>
    <mergeCell ref="A407:J411"/>
    <mergeCell ref="A413:J413"/>
    <mergeCell ref="A415:J423"/>
    <mergeCell ref="A447:B449"/>
    <mergeCell ref="A436:B437"/>
    <mergeCell ref="I444:J446"/>
    <mergeCell ref="I447:J449"/>
    <mergeCell ref="E438:F440"/>
    <mergeCell ref="A444:B446"/>
    <mergeCell ref="A441:B443"/>
    <mergeCell ref="A427:J427"/>
    <mergeCell ref="B428:D428"/>
    <mergeCell ref="G428:H428"/>
    <mergeCell ref="I428:J428"/>
    <mergeCell ref="A435:J435"/>
    <mergeCell ref="A50:J66"/>
    <mergeCell ref="J183:J194"/>
    <mergeCell ref="A221:A227"/>
    <mergeCell ref="B237:C246"/>
    <mergeCell ref="A247:A253"/>
    <mergeCell ref="J152:J163"/>
    <mergeCell ref="A125:A138"/>
    <mergeCell ref="B125:C138"/>
    <mergeCell ref="D139:E151"/>
    <mergeCell ref="F139:H151"/>
    <mergeCell ref="B101:D101"/>
    <mergeCell ref="E101:G101"/>
    <mergeCell ref="H101:J101"/>
    <mergeCell ref="B102:D102"/>
    <mergeCell ref="E102:G102"/>
    <mergeCell ref="A69:J96"/>
    <mergeCell ref="I237:I246"/>
    <mergeCell ref="J237:J246"/>
    <mergeCell ref="J228:J236"/>
    <mergeCell ref="J195:J213"/>
    <mergeCell ref="D221:E227"/>
    <mergeCell ref="F221:H227"/>
    <mergeCell ref="I221:I227"/>
    <mergeCell ref="J221:J227"/>
    <mergeCell ref="A360:J366"/>
    <mergeCell ref="A368:J368"/>
    <mergeCell ref="A370:J378"/>
    <mergeCell ref="G436:H437"/>
    <mergeCell ref="I436:J437"/>
    <mergeCell ref="A392:J392"/>
    <mergeCell ref="A380:J380"/>
    <mergeCell ref="A382:J390"/>
    <mergeCell ref="G308:J308"/>
    <mergeCell ref="B309:D309"/>
    <mergeCell ref="E309:F309"/>
    <mergeCell ref="G309:J309"/>
    <mergeCell ref="B310:D310"/>
    <mergeCell ref="E349:F349"/>
    <mergeCell ref="G349:J349"/>
    <mergeCell ref="A352:J352"/>
    <mergeCell ref="G313:J313"/>
    <mergeCell ref="B314:D314"/>
    <mergeCell ref="E314:F314"/>
    <mergeCell ref="G314:J314"/>
    <mergeCell ref="B315:D315"/>
    <mergeCell ref="E315:F315"/>
    <mergeCell ref="G315:J315"/>
    <mergeCell ref="B316:D316"/>
    <mergeCell ref="B706:J727"/>
    <mergeCell ref="B728:J746"/>
    <mergeCell ref="A747:A750"/>
    <mergeCell ref="B747:J750"/>
    <mergeCell ref="B651:J653"/>
    <mergeCell ref="A651:A653"/>
    <mergeCell ref="A706:A727"/>
    <mergeCell ref="A728:A746"/>
    <mergeCell ref="A662:A682"/>
    <mergeCell ref="B683:J705"/>
    <mergeCell ref="A683:A705"/>
    <mergeCell ref="K433:L434"/>
    <mergeCell ref="H117:J117"/>
    <mergeCell ref="E117:G117"/>
    <mergeCell ref="B117:D117"/>
    <mergeCell ref="H121:J121"/>
    <mergeCell ref="E121:G121"/>
    <mergeCell ref="B121:D121"/>
    <mergeCell ref="H120:J120"/>
    <mergeCell ref="E120:G120"/>
    <mergeCell ref="B120:D120"/>
    <mergeCell ref="E310:F310"/>
    <mergeCell ref="G310:J310"/>
    <mergeCell ref="B311:D311"/>
    <mergeCell ref="E311:F311"/>
    <mergeCell ref="G311:J311"/>
    <mergeCell ref="B312:D312"/>
    <mergeCell ref="E312:F312"/>
    <mergeCell ref="G312:J312"/>
    <mergeCell ref="B313:D313"/>
    <mergeCell ref="E313:F313"/>
    <mergeCell ref="B348:D348"/>
    <mergeCell ref="E348:F348"/>
    <mergeCell ref="G348:J348"/>
    <mergeCell ref="B349:D349"/>
    <mergeCell ref="A542:J542"/>
    <mergeCell ref="A540:J540"/>
    <mergeCell ref="A574:J574"/>
    <mergeCell ref="A590:J590"/>
    <mergeCell ref="I119:J119"/>
    <mergeCell ref="D569:E569"/>
    <mergeCell ref="D570:E570"/>
    <mergeCell ref="D571:E571"/>
    <mergeCell ref="D572:E572"/>
    <mergeCell ref="D573:E573"/>
    <mergeCell ref="G569:H569"/>
    <mergeCell ref="G570:H570"/>
    <mergeCell ref="G571:H571"/>
    <mergeCell ref="G572:H572"/>
    <mergeCell ref="G573:H573"/>
    <mergeCell ref="A214:A220"/>
    <mergeCell ref="B221:C227"/>
    <mergeCell ref="E119:G119"/>
    <mergeCell ref="B119:D119"/>
    <mergeCell ref="A122:J122"/>
    <mergeCell ref="A139:A151"/>
    <mergeCell ref="D183:E194"/>
    <mergeCell ref="A354:J356"/>
    <mergeCell ref="A358:J358"/>
  </mergeCells>
  <phoneticPr fontId="17" type="noConversion"/>
  <printOptions horizontalCentered="1"/>
  <pageMargins left="0.23622047244094491" right="0.23622047244094491" top="1.3385826771653544" bottom="0.6692913385826772" header="0" footer="0.31496062992125984"/>
  <pageSetup paperSize="9" scale="95" orientation="portrait" horizontalDpi="4294967293" r:id="rId1"/>
  <headerFooter differentFirst="1">
    <oddHeader>&amp;L
&amp;K00+000___&amp;K01+000              &amp;D&amp;C&amp;"Lucida Fax,Bold"&amp;KFF0000
786 - 110&amp;R&amp;G&amp;K00+000__.      ___</oddHeader>
    <oddFooter>&amp;C&amp;"Bookman Old Style,Bold"HI - TECH SOLAR SOLUTION&amp;"-,Regular"
&amp;"Times New Roman,Regular"OFFICE - 2nd Floor Gujarat Light, Nr Mahila Police Station, Godhra Road, Dahhod - 389151</oddFooter>
  </headerFooter>
  <rowBreaks count="21" manualBreakCount="21">
    <brk id="48" max="9" man="1"/>
    <brk id="96" max="9" man="1"/>
    <brk id="121" max="9" man="1"/>
    <brk id="163" max="9" man="1"/>
    <brk id="213" max="9" man="1"/>
    <brk id="260" max="9" man="1"/>
    <brk id="283" max="9" man="1"/>
    <brk id="309" max="9" man="1"/>
    <brk id="334" max="9" man="1"/>
    <brk id="351" max="9" man="1"/>
    <brk id="404" max="9" man="1"/>
    <brk id="426" max="9" man="1"/>
    <brk id="475" max="9" man="1"/>
    <brk id="524" max="9" man="1"/>
    <brk id="540" max="9" man="1"/>
    <brk id="568" max="9" man="1"/>
    <brk id="608" max="9" man="1"/>
    <brk id="653" max="9" man="1"/>
    <brk id="694" max="9" man="1"/>
    <brk id="742" max="9" man="1"/>
    <brk id="805" max="16383" man="1"/>
  </rowBreaks>
  <drawing r:id="rId2"/>
  <legacyDrawingHF r:id="rId3"/>
  <tableParts count="1">
    <tablePart r:id="rId4"/>
  </tableParts>
  <extLst>
    <ext xmlns:x14="http://schemas.microsoft.com/office/spreadsheetml/2009/9/main" uri="{CCE6A557-97BC-4b89-ADB6-D9C93CAAB3DF}">
      <x14:dataValidations xmlns:xm="http://schemas.microsoft.com/office/excel/2006/main" count="24">
        <x14:dataValidation type="list" allowBlank="1" showInputMessage="1" showErrorMessage="1" xr:uid="{00000000-0002-0000-0000-000000000000}">
          <x14:formula1>
            <xm:f>DATA!$W$2:$W$4</xm:f>
          </x14:formula1>
          <xm:sqref>B110:D111 B113:D116</xm:sqref>
        </x14:dataValidation>
        <x14:dataValidation type="list" allowBlank="1" showInputMessage="1" showErrorMessage="1" xr:uid="{00000000-0002-0000-0000-000001000000}">
          <x14:formula1>
            <xm:f>DATA!$D$2:$D$3</xm:f>
          </x14:formula1>
          <xm:sqref>E32:F33</xm:sqref>
        </x14:dataValidation>
        <x14:dataValidation type="list" allowBlank="1" showInputMessage="1" showErrorMessage="1" xr:uid="{00000000-0002-0000-0000-000002000000}">
          <x14:formula1>
            <xm:f>DATA!$I$19:$I$25</xm:f>
          </x14:formula1>
          <xm:sqref>W15</xm:sqref>
        </x14:dataValidation>
        <x14:dataValidation type="list" allowBlank="1" showInputMessage="1" showErrorMessage="1" xr:uid="{00000000-0002-0000-0000-000003000000}">
          <x14:formula1>
            <xm:f>Inventry!$B$2:$B$6</xm:f>
          </x14:formula1>
          <xm:sqref>W4</xm:sqref>
        </x14:dataValidation>
        <x14:dataValidation type="list" allowBlank="1" showInputMessage="1" showErrorMessage="1" xr:uid="{00000000-0002-0000-0000-000004000000}">
          <x14:formula1>
            <xm:f>Inventry!$B$7:$B$31</xm:f>
          </x14:formula1>
          <xm:sqref>X5</xm:sqref>
        </x14:dataValidation>
        <x14:dataValidation type="list" allowBlank="1" showInputMessage="1" showErrorMessage="1" xr:uid="{00000000-0002-0000-0000-000005000000}">
          <x14:formula1>
            <xm:f>Inventry!$B$32:$B$41</xm:f>
          </x14:formula1>
          <xm:sqref>X6:X8</xm:sqref>
        </x14:dataValidation>
        <x14:dataValidation type="list" allowBlank="1" showInputMessage="1" showErrorMessage="1" xr:uid="{00000000-0002-0000-0000-000006000000}">
          <x14:formula1>
            <xm:f>Inventry!$B$42:$B$46</xm:f>
          </x14:formula1>
          <xm:sqref>X9</xm:sqref>
        </x14:dataValidation>
        <x14:dataValidation type="list" allowBlank="1" showInputMessage="1" showErrorMessage="1" xr:uid="{00000000-0002-0000-0000-000007000000}">
          <x14:formula1>
            <xm:f>Inventry!$B$47:$B$51</xm:f>
          </x14:formula1>
          <xm:sqref>X10</xm:sqref>
        </x14:dataValidation>
        <x14:dataValidation type="list" allowBlank="1" showInputMessage="1" showErrorMessage="1" xr:uid="{00000000-0002-0000-0000-000008000000}">
          <x14:formula1>
            <xm:f>Inventry!$B$52:$B$56</xm:f>
          </x14:formula1>
          <xm:sqref>X11</xm:sqref>
        </x14:dataValidation>
        <x14:dataValidation type="list" allowBlank="1" showInputMessage="1" showErrorMessage="1" xr:uid="{00000000-0002-0000-0000-000009000000}">
          <x14:formula1>
            <xm:f>Inventry!$B$57:$B$66</xm:f>
          </x14:formula1>
          <xm:sqref>X12</xm:sqref>
        </x14:dataValidation>
        <x14:dataValidation type="list" allowBlank="1" showInputMessage="1" showErrorMessage="1" xr:uid="{00000000-0002-0000-0000-00000A000000}">
          <x14:formula1>
            <xm:f>Inventry!$B$67:$B$76</xm:f>
          </x14:formula1>
          <xm:sqref>X13</xm:sqref>
        </x14:dataValidation>
        <x14:dataValidation type="list" allowBlank="1" showInputMessage="1" showErrorMessage="1" xr:uid="{00000000-0002-0000-0000-00000B000000}">
          <x14:formula1>
            <xm:f>Inventry!$B$77:$B$86</xm:f>
          </x14:formula1>
          <xm:sqref>X14</xm:sqref>
        </x14:dataValidation>
        <x14:dataValidation type="list" allowBlank="1" showInputMessage="1" showErrorMessage="1" xr:uid="{00000000-0002-0000-0000-00000C000000}">
          <x14:formula1>
            <xm:f>Inventry!$B$87:$B$110</xm:f>
          </x14:formula1>
          <xm:sqref>X15</xm:sqref>
        </x14:dataValidation>
        <x14:dataValidation type="list" allowBlank="1" showInputMessage="1" showErrorMessage="1" xr:uid="{00000000-0002-0000-0000-00000D000000}">
          <x14:formula1>
            <xm:f>Inventry!$B$111:$B$113</xm:f>
          </x14:formula1>
          <xm:sqref>X16</xm:sqref>
        </x14:dataValidation>
        <x14:dataValidation type="list" allowBlank="1" showInputMessage="1" showErrorMessage="1" xr:uid="{00000000-0002-0000-0000-00000E000000}">
          <x14:formula1>
            <xm:f>Inventry!$B$114:$B$135</xm:f>
          </x14:formula1>
          <xm:sqref>X17:X18</xm:sqref>
        </x14:dataValidation>
        <x14:dataValidation type="list" allowBlank="1" showInputMessage="1" showErrorMessage="1" xr:uid="{00000000-0002-0000-0000-00000F000000}">
          <x14:formula1>
            <xm:f>Inventry!$B$136:$B$146</xm:f>
          </x14:formula1>
          <xm:sqref>X19:X20</xm:sqref>
        </x14:dataValidation>
        <x14:dataValidation type="list" allowBlank="1" showInputMessage="1" showErrorMessage="1" xr:uid="{00000000-0002-0000-0000-000010000000}">
          <x14:formula1>
            <xm:f>Inventry!$B$147:$B$165</xm:f>
          </x14:formula1>
          <xm:sqref>X21</xm:sqref>
        </x14:dataValidation>
        <x14:dataValidation type="list" allowBlank="1" showInputMessage="1" showErrorMessage="1" xr:uid="{00000000-0002-0000-0000-000011000000}">
          <x14:formula1>
            <xm:f>Inventry!$B$166:$B$175</xm:f>
          </x14:formula1>
          <xm:sqref>X22</xm:sqref>
        </x14:dataValidation>
        <x14:dataValidation type="list" allowBlank="1" showInputMessage="1" showErrorMessage="1" xr:uid="{00000000-0002-0000-0000-000012000000}">
          <x14:formula1>
            <xm:f>Inventry!$B$176:$B$181</xm:f>
          </x14:formula1>
          <xm:sqref>X23</xm:sqref>
        </x14:dataValidation>
        <x14:dataValidation type="list" allowBlank="1" showInputMessage="1" showErrorMessage="1" xr:uid="{00000000-0002-0000-0000-000013000000}">
          <x14:formula1>
            <xm:f>Inventry!$B$182:$B$186</xm:f>
          </x14:formula1>
          <xm:sqref>X24</xm:sqref>
        </x14:dataValidation>
        <x14:dataValidation type="list" allowBlank="1" showInputMessage="1" showErrorMessage="1" xr:uid="{00000000-0002-0000-0000-000014000000}">
          <x14:formula1>
            <xm:f>DATA!$M$2:$M$6</xm:f>
          </x14:formula1>
          <xm:sqref>W6</xm:sqref>
        </x14:dataValidation>
        <x14:dataValidation type="list" allowBlank="1" showInputMessage="1" showErrorMessage="1" xr:uid="{00000000-0002-0000-0000-000015000000}">
          <x14:formula1>
            <xm:f>DATA!$C$19:$C$24</xm:f>
          </x14:formula1>
          <xm:sqref>W12</xm:sqref>
        </x14:dataValidation>
        <x14:dataValidation type="list" allowBlank="1" showInputMessage="1" showErrorMessage="1" xr:uid="{00000000-0002-0000-0000-000016000000}">
          <x14:formula1>
            <xm:f>DATA!$E$19:$E$22</xm:f>
          </x14:formula1>
          <xm:sqref>W13</xm:sqref>
        </x14:dataValidation>
        <x14:dataValidation type="list" allowBlank="1" showInputMessage="1" showErrorMessage="1" xr:uid="{00000000-0002-0000-0000-000017000000}">
          <x14:formula1>
            <xm:f>DATA!$H$19:$H$22</xm:f>
          </x14:formula1>
          <xm:sqref>W14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3"/>
  <sheetViews>
    <sheetView topLeftCell="A24" zoomScale="80" zoomScaleNormal="80" workbookViewId="0">
      <selection activeCell="F27" sqref="F27"/>
    </sheetView>
  </sheetViews>
  <sheetFormatPr defaultColWidth="9.140625" defaultRowHeight="15" x14ac:dyDescent="0.25"/>
  <cols>
    <col min="1" max="1" width="9.140625" style="34"/>
    <col min="2" max="2" width="101.140625" style="8" bestFit="1" customWidth="1"/>
    <col min="3" max="3" width="44.85546875" style="102" bestFit="1" customWidth="1"/>
    <col min="4" max="4" width="87" style="8" bestFit="1" customWidth="1"/>
    <col min="5" max="5" width="6.7109375" style="34" bestFit="1" customWidth="1"/>
    <col min="6" max="6" width="9.85546875" style="8" bestFit="1" customWidth="1"/>
    <col min="7" max="7" width="10.140625" style="8" bestFit="1" customWidth="1"/>
    <col min="8" max="16384" width="9.140625" style="8"/>
  </cols>
  <sheetData>
    <row r="1" spans="1:6" ht="18.75" x14ac:dyDescent="0.25">
      <c r="A1" s="99" t="s">
        <v>208</v>
      </c>
      <c r="B1" s="99" t="s">
        <v>107</v>
      </c>
      <c r="C1" s="99" t="s">
        <v>690</v>
      </c>
      <c r="D1" s="99" t="s">
        <v>691</v>
      </c>
      <c r="E1" s="99" t="s">
        <v>128</v>
      </c>
      <c r="F1" s="99" t="s">
        <v>240</v>
      </c>
    </row>
    <row r="2" spans="1:6" ht="93.75" x14ac:dyDescent="0.25">
      <c r="A2" s="93">
        <v>1</v>
      </c>
      <c r="B2" s="95" t="s">
        <v>535</v>
      </c>
      <c r="C2" s="113" t="s">
        <v>884</v>
      </c>
      <c r="D2" s="94" t="s">
        <v>733</v>
      </c>
      <c r="E2" s="93" t="s">
        <v>537</v>
      </c>
      <c r="F2" s="95">
        <v>17</v>
      </c>
    </row>
    <row r="3" spans="1:6" ht="150" x14ac:dyDescent="0.25">
      <c r="A3" s="93">
        <v>2</v>
      </c>
      <c r="B3" s="95" t="s">
        <v>536</v>
      </c>
      <c r="C3" s="113" t="s">
        <v>884</v>
      </c>
      <c r="D3" s="94" t="s">
        <v>734</v>
      </c>
      <c r="E3" s="93" t="s">
        <v>537</v>
      </c>
      <c r="F3" s="95">
        <v>18</v>
      </c>
    </row>
    <row r="4" spans="1:6" ht="75" x14ac:dyDescent="0.25">
      <c r="A4" s="93">
        <v>3</v>
      </c>
      <c r="B4" s="95" t="s">
        <v>891</v>
      </c>
      <c r="C4" s="113" t="s">
        <v>884</v>
      </c>
      <c r="D4" s="94" t="s">
        <v>892</v>
      </c>
      <c r="E4" s="93" t="s">
        <v>537</v>
      </c>
      <c r="F4" s="95">
        <v>17</v>
      </c>
    </row>
    <row r="5" spans="1:6" ht="150" x14ac:dyDescent="0.25">
      <c r="A5" s="93">
        <v>4</v>
      </c>
      <c r="B5" s="95" t="s">
        <v>914</v>
      </c>
      <c r="C5" s="113" t="s">
        <v>905</v>
      </c>
      <c r="D5" s="94" t="s">
        <v>734</v>
      </c>
      <c r="E5" s="93" t="s">
        <v>537</v>
      </c>
      <c r="F5" s="95">
        <v>15.5</v>
      </c>
    </row>
    <row r="6" spans="1:6" ht="18.75" x14ac:dyDescent="0.25">
      <c r="A6" s="93">
        <v>5</v>
      </c>
      <c r="B6" s="95"/>
      <c r="C6" s="113"/>
      <c r="D6" s="95"/>
      <c r="E6" s="93"/>
      <c r="F6" s="95"/>
    </row>
    <row r="7" spans="1:6" ht="168.75" x14ac:dyDescent="0.25">
      <c r="A7" s="93">
        <v>6</v>
      </c>
      <c r="B7" s="96" t="s">
        <v>570</v>
      </c>
      <c r="C7" s="114" t="s">
        <v>692</v>
      </c>
      <c r="D7" s="96" t="s">
        <v>697</v>
      </c>
      <c r="E7" s="93" t="s">
        <v>10</v>
      </c>
      <c r="F7" s="95">
        <v>15800</v>
      </c>
    </row>
    <row r="8" spans="1:6" ht="168.75" x14ac:dyDescent="0.25">
      <c r="A8" s="93">
        <v>7</v>
      </c>
      <c r="B8" s="96" t="s">
        <v>571</v>
      </c>
      <c r="C8" s="114" t="s">
        <v>692</v>
      </c>
      <c r="D8" s="96" t="s">
        <v>697</v>
      </c>
      <c r="E8" s="93" t="s">
        <v>10</v>
      </c>
      <c r="F8" s="95">
        <v>15800</v>
      </c>
    </row>
    <row r="9" spans="1:6" ht="168.75" x14ac:dyDescent="0.25">
      <c r="A9" s="93">
        <v>8</v>
      </c>
      <c r="B9" s="96" t="s">
        <v>572</v>
      </c>
      <c r="C9" s="114" t="s">
        <v>692</v>
      </c>
      <c r="D9" s="96" t="s">
        <v>697</v>
      </c>
      <c r="E9" s="93" t="s">
        <v>10</v>
      </c>
      <c r="F9" s="95">
        <v>24500</v>
      </c>
    </row>
    <row r="10" spans="1:6" ht="168.75" x14ac:dyDescent="0.25">
      <c r="A10" s="93">
        <v>9</v>
      </c>
      <c r="B10" s="96" t="s">
        <v>573</v>
      </c>
      <c r="C10" s="114" t="s">
        <v>692</v>
      </c>
      <c r="D10" s="96" t="s">
        <v>697</v>
      </c>
      <c r="E10" s="93" t="s">
        <v>10</v>
      </c>
      <c r="F10" s="95">
        <v>29000</v>
      </c>
    </row>
    <row r="11" spans="1:6" ht="168.75" x14ac:dyDescent="0.25">
      <c r="A11" s="93">
        <v>10</v>
      </c>
      <c r="B11" s="96" t="s">
        <v>574</v>
      </c>
      <c r="C11" s="114" t="s">
        <v>692</v>
      </c>
      <c r="D11" s="96" t="s">
        <v>697</v>
      </c>
      <c r="E11" s="93" t="s">
        <v>10</v>
      </c>
      <c r="F11" s="95">
        <v>30000</v>
      </c>
    </row>
    <row r="12" spans="1:6" ht="112.5" x14ac:dyDescent="0.25">
      <c r="A12" s="93">
        <v>11</v>
      </c>
      <c r="B12" s="96" t="s">
        <v>575</v>
      </c>
      <c r="C12" s="114" t="s">
        <v>692</v>
      </c>
      <c r="D12" s="96" t="s">
        <v>696</v>
      </c>
      <c r="E12" s="93" t="s">
        <v>10</v>
      </c>
      <c r="F12" s="95"/>
    </row>
    <row r="13" spans="1:6" ht="112.5" x14ac:dyDescent="0.25">
      <c r="A13" s="93">
        <v>12</v>
      </c>
      <c r="B13" s="96" t="s">
        <v>576</v>
      </c>
      <c r="C13" s="114" t="s">
        <v>692</v>
      </c>
      <c r="D13" s="96" t="s">
        <v>696</v>
      </c>
      <c r="E13" s="93" t="s">
        <v>10</v>
      </c>
      <c r="F13" s="95">
        <v>47000</v>
      </c>
    </row>
    <row r="14" spans="1:6" ht="112.5" x14ac:dyDescent="0.25">
      <c r="A14" s="93">
        <v>13</v>
      </c>
      <c r="B14" s="96" t="s">
        <v>577</v>
      </c>
      <c r="C14" s="114" t="s">
        <v>692</v>
      </c>
      <c r="D14" s="96" t="s">
        <v>696</v>
      </c>
      <c r="E14" s="93" t="s">
        <v>10</v>
      </c>
      <c r="F14" s="95">
        <v>51500</v>
      </c>
    </row>
    <row r="15" spans="1:6" ht="112.5" x14ac:dyDescent="0.25">
      <c r="A15" s="93">
        <v>14</v>
      </c>
      <c r="B15" s="96" t="s">
        <v>633</v>
      </c>
      <c r="C15" s="114" t="s">
        <v>692</v>
      </c>
      <c r="D15" s="96" t="s">
        <v>696</v>
      </c>
      <c r="E15" s="93" t="s">
        <v>10</v>
      </c>
      <c r="F15" s="95">
        <v>53500</v>
      </c>
    </row>
    <row r="16" spans="1:6" ht="112.5" x14ac:dyDescent="0.25">
      <c r="A16" s="93">
        <v>15</v>
      </c>
      <c r="B16" s="96" t="s">
        <v>578</v>
      </c>
      <c r="C16" s="114" t="s">
        <v>692</v>
      </c>
      <c r="D16" s="96" t="s">
        <v>696</v>
      </c>
      <c r="E16" s="93" t="s">
        <v>10</v>
      </c>
      <c r="F16" s="95">
        <v>56500</v>
      </c>
    </row>
    <row r="17" spans="1:6" ht="112.5" x14ac:dyDescent="0.25">
      <c r="A17" s="93">
        <v>16</v>
      </c>
      <c r="B17" s="96" t="s">
        <v>579</v>
      </c>
      <c r="C17" s="114" t="s">
        <v>692</v>
      </c>
      <c r="D17" s="96" t="s">
        <v>696</v>
      </c>
      <c r="E17" s="93" t="s">
        <v>10</v>
      </c>
      <c r="F17" s="95">
        <v>66000</v>
      </c>
    </row>
    <row r="18" spans="1:6" ht="112.5" x14ac:dyDescent="0.25">
      <c r="A18" s="93">
        <v>17</v>
      </c>
      <c r="B18" s="96" t="s">
        <v>580</v>
      </c>
      <c r="C18" s="114" t="s">
        <v>692</v>
      </c>
      <c r="D18" s="96" t="s">
        <v>696</v>
      </c>
      <c r="E18" s="93" t="s">
        <v>10</v>
      </c>
      <c r="F18" s="95">
        <v>74000</v>
      </c>
    </row>
    <row r="19" spans="1:6" ht="187.5" x14ac:dyDescent="0.25">
      <c r="A19" s="93">
        <v>18</v>
      </c>
      <c r="B19" s="96" t="s">
        <v>581</v>
      </c>
      <c r="C19" s="114" t="s">
        <v>692</v>
      </c>
      <c r="D19" s="96" t="s">
        <v>698</v>
      </c>
      <c r="E19" s="93" t="s">
        <v>10</v>
      </c>
      <c r="F19" s="95">
        <v>119000</v>
      </c>
    </row>
    <row r="20" spans="1:6" ht="187.5" x14ac:dyDescent="0.25">
      <c r="A20" s="93">
        <v>19</v>
      </c>
      <c r="B20" s="96" t="s">
        <v>582</v>
      </c>
      <c r="C20" s="114" t="s">
        <v>692</v>
      </c>
      <c r="D20" s="96" t="s">
        <v>698</v>
      </c>
      <c r="E20" s="93" t="s">
        <v>10</v>
      </c>
      <c r="F20" s="95">
        <v>148000</v>
      </c>
    </row>
    <row r="21" spans="1:6" ht="225" x14ac:dyDescent="0.25">
      <c r="A21" s="93">
        <v>20</v>
      </c>
      <c r="B21" s="96" t="s">
        <v>590</v>
      </c>
      <c r="C21" s="114" t="s">
        <v>692</v>
      </c>
      <c r="D21" s="96" t="s">
        <v>699</v>
      </c>
      <c r="E21" s="93" t="s">
        <v>10</v>
      </c>
      <c r="F21" s="95">
        <v>224000</v>
      </c>
    </row>
    <row r="22" spans="1:6" ht="225" x14ac:dyDescent="0.25">
      <c r="A22" s="93">
        <v>21</v>
      </c>
      <c r="B22" s="96" t="s">
        <v>591</v>
      </c>
      <c r="C22" s="114" t="s">
        <v>692</v>
      </c>
      <c r="D22" s="96" t="s">
        <v>699</v>
      </c>
      <c r="E22" s="93" t="s">
        <v>10</v>
      </c>
      <c r="F22" s="95">
        <v>268000</v>
      </c>
    </row>
    <row r="23" spans="1:6" ht="225" x14ac:dyDescent="0.25">
      <c r="A23" s="93">
        <v>22</v>
      </c>
      <c r="B23" s="96" t="s">
        <v>583</v>
      </c>
      <c r="C23" s="114" t="s">
        <v>692</v>
      </c>
      <c r="D23" s="96" t="s">
        <v>699</v>
      </c>
      <c r="E23" s="93" t="s">
        <v>10</v>
      </c>
      <c r="F23" s="95">
        <v>285000</v>
      </c>
    </row>
    <row r="24" spans="1:6" ht="262.5" x14ac:dyDescent="0.25">
      <c r="A24" s="93">
        <v>23</v>
      </c>
      <c r="B24" s="96" t="s">
        <v>899</v>
      </c>
      <c r="C24" s="114" t="s">
        <v>900</v>
      </c>
      <c r="D24" s="96" t="s">
        <v>901</v>
      </c>
      <c r="E24" s="93" t="s">
        <v>596</v>
      </c>
      <c r="F24" s="95">
        <v>467000</v>
      </c>
    </row>
    <row r="25" spans="1:6" ht="206.25" x14ac:dyDescent="0.25">
      <c r="A25" s="93">
        <v>24</v>
      </c>
      <c r="B25" s="96" t="s">
        <v>906</v>
      </c>
      <c r="C25" s="114" t="s">
        <v>907</v>
      </c>
      <c r="D25" s="96" t="s">
        <v>908</v>
      </c>
      <c r="E25" s="93" t="s">
        <v>596</v>
      </c>
      <c r="F25" s="95">
        <v>92500</v>
      </c>
    </row>
    <row r="26" spans="1:6" ht="112.5" x14ac:dyDescent="0.25">
      <c r="A26" s="93">
        <v>25</v>
      </c>
      <c r="B26" s="96" t="s">
        <v>915</v>
      </c>
      <c r="C26" s="114" t="s">
        <v>916</v>
      </c>
      <c r="D26" s="96" t="s">
        <v>696</v>
      </c>
      <c r="E26" s="93" t="s">
        <v>10</v>
      </c>
      <c r="F26" s="95">
        <v>61000</v>
      </c>
    </row>
    <row r="27" spans="1:6" ht="18.75" x14ac:dyDescent="0.25">
      <c r="A27" s="93">
        <v>26</v>
      </c>
      <c r="B27" s="96"/>
      <c r="C27" s="114"/>
      <c r="D27" s="96"/>
      <c r="E27" s="93"/>
      <c r="F27" s="95"/>
    </row>
    <row r="28" spans="1:6" ht="18.75" x14ac:dyDescent="0.25">
      <c r="A28" s="93">
        <v>27</v>
      </c>
      <c r="E28" s="93"/>
      <c r="F28" s="95"/>
    </row>
    <row r="29" spans="1:6" ht="18.75" x14ac:dyDescent="0.25">
      <c r="A29" s="93">
        <v>28</v>
      </c>
      <c r="B29" s="95"/>
      <c r="C29" s="113"/>
      <c r="D29" s="95"/>
      <c r="E29" s="93"/>
      <c r="F29" s="95"/>
    </row>
    <row r="30" spans="1:6" ht="18.75" x14ac:dyDescent="0.25">
      <c r="A30" s="93">
        <v>29</v>
      </c>
      <c r="B30" s="95"/>
      <c r="C30" s="113"/>
      <c r="D30" s="95"/>
      <c r="E30" s="93"/>
      <c r="F30" s="95"/>
    </row>
    <row r="31" spans="1:6" ht="18.75" x14ac:dyDescent="0.25">
      <c r="A31" s="93">
        <v>30</v>
      </c>
      <c r="B31" s="95"/>
      <c r="C31" s="113"/>
      <c r="D31" s="95"/>
      <c r="E31" s="93"/>
      <c r="F31" s="95"/>
    </row>
    <row r="32" spans="1:6" ht="131.25" x14ac:dyDescent="0.25">
      <c r="A32" s="93">
        <v>31</v>
      </c>
      <c r="B32" s="95" t="s">
        <v>718</v>
      </c>
      <c r="C32" s="113" t="s">
        <v>256</v>
      </c>
      <c r="D32" s="94" t="s">
        <v>841</v>
      </c>
      <c r="E32" s="93" t="s">
        <v>133</v>
      </c>
      <c r="F32" s="95">
        <v>68</v>
      </c>
    </row>
    <row r="33" spans="1:6" ht="131.25" x14ac:dyDescent="0.25">
      <c r="A33" s="93">
        <v>32</v>
      </c>
      <c r="B33" s="95" t="s">
        <v>719</v>
      </c>
      <c r="C33" s="113" t="s">
        <v>256</v>
      </c>
      <c r="D33" s="94" t="s">
        <v>841</v>
      </c>
      <c r="E33" s="93" t="s">
        <v>133</v>
      </c>
      <c r="F33" s="95">
        <v>67</v>
      </c>
    </row>
    <row r="34" spans="1:6" ht="131.25" x14ac:dyDescent="0.25">
      <c r="A34" s="93">
        <v>33</v>
      </c>
      <c r="B34" s="95" t="s">
        <v>720</v>
      </c>
      <c r="C34" s="113" t="s">
        <v>256</v>
      </c>
      <c r="D34" s="94" t="s">
        <v>841</v>
      </c>
      <c r="E34" s="93" t="s">
        <v>133</v>
      </c>
      <c r="F34" s="95">
        <v>69</v>
      </c>
    </row>
    <row r="35" spans="1:6" ht="131.25" x14ac:dyDescent="0.25">
      <c r="A35" s="93">
        <v>34</v>
      </c>
      <c r="B35" s="95" t="s">
        <v>588</v>
      </c>
      <c r="C35" s="113" t="s">
        <v>661</v>
      </c>
      <c r="D35" s="94" t="s">
        <v>735</v>
      </c>
      <c r="E35" s="93" t="s">
        <v>17</v>
      </c>
      <c r="F35" s="95">
        <v>900</v>
      </c>
    </row>
    <row r="36" spans="1:6" ht="131.25" x14ac:dyDescent="0.25">
      <c r="A36" s="93">
        <v>35</v>
      </c>
      <c r="B36" s="95" t="s">
        <v>589</v>
      </c>
      <c r="C36" s="113" t="s">
        <v>661</v>
      </c>
      <c r="D36" s="94" t="s">
        <v>736</v>
      </c>
      <c r="E36" s="93" t="s">
        <v>17</v>
      </c>
      <c r="F36" s="95">
        <v>1200</v>
      </c>
    </row>
    <row r="37" spans="1:6" ht="18.75" x14ac:dyDescent="0.25">
      <c r="A37" s="93">
        <v>36</v>
      </c>
      <c r="B37" s="95"/>
      <c r="C37" s="113"/>
      <c r="D37" s="95"/>
      <c r="E37" s="93"/>
      <c r="F37" s="95"/>
    </row>
    <row r="38" spans="1:6" ht="18.75" x14ac:dyDescent="0.25">
      <c r="A38" s="93">
        <v>37</v>
      </c>
      <c r="B38" s="95"/>
      <c r="C38" s="113"/>
      <c r="D38" s="95"/>
      <c r="E38" s="93"/>
      <c r="F38" s="95"/>
    </row>
    <row r="39" spans="1:6" ht="18.75" x14ac:dyDescent="0.25">
      <c r="A39" s="93">
        <v>38</v>
      </c>
      <c r="B39" s="95"/>
      <c r="C39" s="113"/>
      <c r="D39" s="95"/>
      <c r="E39" s="93"/>
      <c r="F39" s="95"/>
    </row>
    <row r="40" spans="1:6" ht="18.75" x14ac:dyDescent="0.25">
      <c r="A40" s="93">
        <v>39</v>
      </c>
      <c r="B40" s="95"/>
      <c r="C40" s="113"/>
      <c r="D40" s="95"/>
      <c r="E40" s="93"/>
      <c r="F40" s="95"/>
    </row>
    <row r="41" spans="1:6" ht="18.75" x14ac:dyDescent="0.25">
      <c r="A41" s="93">
        <v>40</v>
      </c>
      <c r="B41" s="95"/>
      <c r="C41" s="113"/>
      <c r="D41" s="95"/>
      <c r="E41" s="93"/>
      <c r="F41" s="95"/>
    </row>
    <row r="42" spans="1:6" ht="75" x14ac:dyDescent="0.3">
      <c r="A42" s="93">
        <v>41</v>
      </c>
      <c r="B42" s="95" t="s">
        <v>737</v>
      </c>
      <c r="C42" s="113" t="s">
        <v>818</v>
      </c>
      <c r="D42" s="112" t="s">
        <v>820</v>
      </c>
      <c r="E42" s="93" t="s">
        <v>596</v>
      </c>
      <c r="F42" s="95">
        <v>33</v>
      </c>
    </row>
    <row r="43" spans="1:6" ht="75" x14ac:dyDescent="0.3">
      <c r="A43" s="93">
        <v>42</v>
      </c>
      <c r="B43" s="95" t="s">
        <v>738</v>
      </c>
      <c r="C43" s="113" t="s">
        <v>818</v>
      </c>
      <c r="D43" s="112" t="s">
        <v>821</v>
      </c>
      <c r="E43" s="93" t="s">
        <v>596</v>
      </c>
      <c r="F43" s="95">
        <v>56</v>
      </c>
    </row>
    <row r="44" spans="1:6" ht="18.75" x14ac:dyDescent="0.25">
      <c r="A44" s="93">
        <v>43</v>
      </c>
      <c r="B44" s="95"/>
      <c r="C44" s="113"/>
      <c r="D44" s="95"/>
      <c r="E44" s="93"/>
      <c r="F44" s="95"/>
    </row>
    <row r="45" spans="1:6" ht="18.75" x14ac:dyDescent="0.25">
      <c r="A45" s="93">
        <v>44</v>
      </c>
      <c r="B45" s="95"/>
      <c r="C45" s="113"/>
      <c r="D45" s="95"/>
      <c r="E45" s="93"/>
      <c r="F45" s="95"/>
    </row>
    <row r="46" spans="1:6" ht="18.75" x14ac:dyDescent="0.25">
      <c r="A46" s="93">
        <v>45</v>
      </c>
      <c r="B46" s="95"/>
      <c r="C46" s="113"/>
      <c r="D46" s="95"/>
      <c r="E46" s="93"/>
      <c r="F46" s="95"/>
    </row>
    <row r="47" spans="1:6" ht="75" x14ac:dyDescent="0.3">
      <c r="A47" s="93">
        <v>46</v>
      </c>
      <c r="B47" s="95" t="s">
        <v>592</v>
      </c>
      <c r="C47" s="113" t="s">
        <v>819</v>
      </c>
      <c r="D47" s="112" t="s">
        <v>822</v>
      </c>
      <c r="E47" s="93" t="s">
        <v>596</v>
      </c>
      <c r="F47" s="95">
        <v>11.5</v>
      </c>
    </row>
    <row r="48" spans="1:6" ht="75" x14ac:dyDescent="0.3">
      <c r="A48" s="93">
        <v>47</v>
      </c>
      <c r="B48" s="95" t="s">
        <v>593</v>
      </c>
      <c r="C48" s="113" t="s">
        <v>819</v>
      </c>
      <c r="D48" s="112" t="s">
        <v>823</v>
      </c>
      <c r="E48" s="93" t="s">
        <v>596</v>
      </c>
      <c r="F48" s="95">
        <v>13.5</v>
      </c>
    </row>
    <row r="49" spans="1:6" ht="18.75" x14ac:dyDescent="0.25">
      <c r="A49" s="93">
        <v>48</v>
      </c>
      <c r="B49" s="95"/>
      <c r="C49" s="113"/>
      <c r="D49" s="95"/>
      <c r="E49" s="93"/>
      <c r="F49" s="95"/>
    </row>
    <row r="50" spans="1:6" ht="18.75" x14ac:dyDescent="0.25">
      <c r="A50" s="93">
        <v>49</v>
      </c>
      <c r="B50" s="95"/>
      <c r="C50" s="113"/>
      <c r="D50" s="95"/>
      <c r="E50" s="93"/>
      <c r="F50" s="95"/>
    </row>
    <row r="51" spans="1:6" ht="18.75" x14ac:dyDescent="0.25">
      <c r="A51" s="93">
        <v>50</v>
      </c>
      <c r="B51" s="95"/>
      <c r="C51" s="113"/>
      <c r="D51" s="95"/>
      <c r="E51" s="93"/>
      <c r="F51" s="95"/>
    </row>
    <row r="52" spans="1:6" ht="75" x14ac:dyDescent="0.3">
      <c r="A52" s="93">
        <v>51</v>
      </c>
      <c r="B52" s="95" t="s">
        <v>594</v>
      </c>
      <c r="C52" s="113" t="s">
        <v>819</v>
      </c>
      <c r="D52" s="112" t="s">
        <v>824</v>
      </c>
      <c r="E52" s="93" t="s">
        <v>596</v>
      </c>
      <c r="F52" s="95">
        <v>9.5</v>
      </c>
    </row>
    <row r="53" spans="1:6" ht="18.75" x14ac:dyDescent="0.25">
      <c r="A53" s="93">
        <v>52</v>
      </c>
      <c r="B53" s="95"/>
      <c r="C53" s="113" t="s">
        <v>819</v>
      </c>
      <c r="D53" s="95"/>
      <c r="E53" s="93" t="s">
        <v>596</v>
      </c>
      <c r="F53" s="95"/>
    </row>
    <row r="54" spans="1:6" ht="18.75" x14ac:dyDescent="0.25">
      <c r="A54" s="93">
        <v>53</v>
      </c>
      <c r="B54" s="95"/>
      <c r="C54" s="113"/>
      <c r="D54" s="95"/>
      <c r="E54" s="93"/>
      <c r="F54" s="95"/>
    </row>
    <row r="55" spans="1:6" ht="18.75" x14ac:dyDescent="0.25">
      <c r="A55" s="93">
        <v>54</v>
      </c>
      <c r="B55" s="95"/>
      <c r="C55" s="113"/>
      <c r="D55" s="95"/>
      <c r="E55" s="93"/>
      <c r="F55" s="95"/>
    </row>
    <row r="56" spans="1:6" ht="18.75" x14ac:dyDescent="0.25">
      <c r="A56" s="93">
        <v>55</v>
      </c>
      <c r="B56" s="95"/>
      <c r="C56" s="113"/>
      <c r="D56" s="95"/>
      <c r="E56" s="93"/>
      <c r="F56" s="95"/>
    </row>
    <row r="57" spans="1:6" ht="243.75" x14ac:dyDescent="0.25">
      <c r="A57" s="93">
        <v>56</v>
      </c>
      <c r="B57" s="95" t="s">
        <v>558</v>
      </c>
      <c r="C57" s="115" t="s">
        <v>825</v>
      </c>
      <c r="D57" s="94" t="s">
        <v>740</v>
      </c>
      <c r="E57" s="93" t="s">
        <v>614</v>
      </c>
      <c r="F57" s="95">
        <v>0.7</v>
      </c>
    </row>
    <row r="58" spans="1:6" ht="150" x14ac:dyDescent="0.25">
      <c r="A58" s="93">
        <v>57</v>
      </c>
      <c r="B58" s="95" t="s">
        <v>559</v>
      </c>
      <c r="C58" s="115" t="s">
        <v>826</v>
      </c>
      <c r="D58" s="94" t="s">
        <v>739</v>
      </c>
      <c r="E58" s="93" t="s">
        <v>614</v>
      </c>
      <c r="F58" s="95">
        <v>0.6</v>
      </c>
    </row>
    <row r="59" spans="1:6" ht="168.75" x14ac:dyDescent="0.25">
      <c r="A59" s="93">
        <v>58</v>
      </c>
      <c r="B59" s="95" t="s">
        <v>560</v>
      </c>
      <c r="C59" s="115" t="s">
        <v>827</v>
      </c>
      <c r="D59" s="94" t="s">
        <v>741</v>
      </c>
      <c r="E59" s="93" t="s">
        <v>614</v>
      </c>
      <c r="F59" s="95">
        <v>0.7</v>
      </c>
    </row>
    <row r="60" spans="1:6" ht="206.25" x14ac:dyDescent="0.25">
      <c r="A60" s="93">
        <v>59</v>
      </c>
      <c r="B60" s="95" t="s">
        <v>561</v>
      </c>
      <c r="C60" s="115" t="s">
        <v>828</v>
      </c>
      <c r="D60" s="94" t="s">
        <v>742</v>
      </c>
      <c r="E60" s="93" t="s">
        <v>614</v>
      </c>
      <c r="F60" s="95">
        <v>0.7</v>
      </c>
    </row>
    <row r="61" spans="1:6" ht="131.25" x14ac:dyDescent="0.25">
      <c r="A61" s="93">
        <v>60</v>
      </c>
      <c r="B61" s="95" t="s">
        <v>885</v>
      </c>
      <c r="C61" s="115" t="s">
        <v>886</v>
      </c>
      <c r="D61" s="94" t="s">
        <v>887</v>
      </c>
      <c r="E61" s="93" t="s">
        <v>614</v>
      </c>
      <c r="F61" s="95">
        <v>0.5</v>
      </c>
    </row>
    <row r="62" spans="1:6" ht="18.75" x14ac:dyDescent="0.25">
      <c r="A62" s="93">
        <v>61</v>
      </c>
      <c r="B62" s="95"/>
      <c r="C62" s="113"/>
      <c r="D62" s="95"/>
      <c r="E62" s="93"/>
      <c r="F62" s="95"/>
    </row>
    <row r="63" spans="1:6" ht="18.75" x14ac:dyDescent="0.25">
      <c r="A63" s="93">
        <v>62</v>
      </c>
      <c r="B63" s="95"/>
      <c r="C63" s="113"/>
      <c r="D63" s="95"/>
      <c r="E63" s="93"/>
      <c r="F63" s="95"/>
    </row>
    <row r="64" spans="1:6" ht="18.75" x14ac:dyDescent="0.25">
      <c r="A64" s="93">
        <v>63</v>
      </c>
      <c r="B64" s="95"/>
      <c r="C64" s="113"/>
      <c r="D64" s="95"/>
      <c r="E64" s="93"/>
      <c r="F64" s="95"/>
    </row>
    <row r="65" spans="1:6" ht="18.75" x14ac:dyDescent="0.25">
      <c r="A65" s="93">
        <v>64</v>
      </c>
      <c r="B65" s="95"/>
      <c r="C65" s="113"/>
      <c r="D65" s="95"/>
      <c r="E65" s="93"/>
      <c r="F65" s="95"/>
    </row>
    <row r="66" spans="1:6" ht="18.75" x14ac:dyDescent="0.25">
      <c r="A66" s="93">
        <v>65</v>
      </c>
      <c r="B66" s="95"/>
      <c r="C66" s="113"/>
      <c r="D66" s="95"/>
      <c r="E66" s="93"/>
      <c r="F66" s="95"/>
    </row>
    <row r="67" spans="1:6" ht="131.25" x14ac:dyDescent="0.25">
      <c r="A67" s="93">
        <v>66</v>
      </c>
      <c r="B67" s="95" t="s">
        <v>566</v>
      </c>
      <c r="C67" s="115" t="s">
        <v>829</v>
      </c>
      <c r="D67" s="94" t="s">
        <v>743</v>
      </c>
      <c r="E67" s="93" t="s">
        <v>614</v>
      </c>
      <c r="F67" s="95">
        <v>0.4</v>
      </c>
    </row>
    <row r="68" spans="1:6" ht="150" x14ac:dyDescent="0.25">
      <c r="A68" s="93">
        <v>67</v>
      </c>
      <c r="B68" s="95" t="s">
        <v>567</v>
      </c>
      <c r="C68" s="115" t="s">
        <v>830</v>
      </c>
      <c r="D68" s="94" t="s">
        <v>744</v>
      </c>
      <c r="E68" s="93" t="s">
        <v>614</v>
      </c>
      <c r="F68" s="95">
        <v>0.5</v>
      </c>
    </row>
    <row r="69" spans="1:6" ht="150" x14ac:dyDescent="0.25">
      <c r="A69" s="93">
        <v>68</v>
      </c>
      <c r="B69" s="95" t="s">
        <v>568</v>
      </c>
      <c r="C69" s="115" t="s">
        <v>831</v>
      </c>
      <c r="D69" s="94" t="s">
        <v>745</v>
      </c>
      <c r="E69" s="93" t="s">
        <v>614</v>
      </c>
      <c r="F69" s="95">
        <v>0.5</v>
      </c>
    </row>
    <row r="70" spans="1:6" ht="112.5" x14ac:dyDescent="0.25">
      <c r="A70" s="93">
        <v>69</v>
      </c>
      <c r="B70" s="95" t="s">
        <v>569</v>
      </c>
      <c r="C70" s="113" t="s">
        <v>832</v>
      </c>
      <c r="D70" s="94" t="s">
        <v>746</v>
      </c>
      <c r="E70" s="93" t="s">
        <v>614</v>
      </c>
      <c r="F70" s="95">
        <v>0.35</v>
      </c>
    </row>
    <row r="71" spans="1:6" ht="18.75" x14ac:dyDescent="0.25">
      <c r="A71" s="93">
        <v>70</v>
      </c>
      <c r="B71" s="95"/>
      <c r="C71" s="113"/>
      <c r="D71" s="95"/>
      <c r="E71" s="93"/>
      <c r="F71" s="95"/>
    </row>
    <row r="72" spans="1:6" ht="18.75" x14ac:dyDescent="0.25">
      <c r="A72" s="93">
        <v>71</v>
      </c>
      <c r="B72" s="95"/>
      <c r="C72" s="113"/>
      <c r="D72" s="95"/>
      <c r="E72" s="93"/>
      <c r="F72" s="95"/>
    </row>
    <row r="73" spans="1:6" ht="18.75" x14ac:dyDescent="0.25">
      <c r="A73" s="93">
        <v>72</v>
      </c>
      <c r="B73" s="95"/>
      <c r="C73" s="113"/>
      <c r="D73" s="95"/>
      <c r="E73" s="93"/>
      <c r="F73" s="95"/>
    </row>
    <row r="74" spans="1:6" ht="18.75" x14ac:dyDescent="0.25">
      <c r="A74" s="93">
        <v>73</v>
      </c>
      <c r="B74" s="95"/>
      <c r="C74" s="113"/>
      <c r="D74" s="95"/>
      <c r="E74" s="93"/>
      <c r="F74" s="95"/>
    </row>
    <row r="75" spans="1:6" ht="18.75" x14ac:dyDescent="0.25">
      <c r="A75" s="93">
        <v>74</v>
      </c>
      <c r="B75" s="95"/>
      <c r="C75" s="113"/>
      <c r="D75" s="95"/>
      <c r="E75" s="93"/>
      <c r="F75" s="95"/>
    </row>
    <row r="76" spans="1:6" ht="18.75" x14ac:dyDescent="0.25">
      <c r="A76" s="93">
        <v>75</v>
      </c>
      <c r="B76" s="95"/>
      <c r="C76" s="113"/>
      <c r="D76" s="95"/>
      <c r="E76" s="93"/>
      <c r="F76" s="95"/>
    </row>
    <row r="77" spans="1:6" ht="30" x14ac:dyDescent="0.25">
      <c r="A77" s="93">
        <v>76</v>
      </c>
      <c r="B77" s="8" t="s">
        <v>532</v>
      </c>
      <c r="C77" s="113" t="s">
        <v>661</v>
      </c>
      <c r="D77" s="78" t="s">
        <v>752</v>
      </c>
      <c r="E77" s="93" t="s">
        <v>596</v>
      </c>
      <c r="F77" s="95">
        <v>3500</v>
      </c>
    </row>
    <row r="78" spans="1:6" ht="195" x14ac:dyDescent="0.25">
      <c r="A78" s="93">
        <v>77</v>
      </c>
      <c r="B78" s="8" t="s">
        <v>533</v>
      </c>
      <c r="C78" s="102" t="s">
        <v>89</v>
      </c>
      <c r="D78" s="78" t="s">
        <v>753</v>
      </c>
      <c r="E78" s="93" t="s">
        <v>596</v>
      </c>
      <c r="F78" s="95">
        <v>9700</v>
      </c>
    </row>
    <row r="79" spans="1:6" ht="210" x14ac:dyDescent="0.25">
      <c r="A79" s="93">
        <v>78</v>
      </c>
      <c r="B79" s="95" t="s">
        <v>627</v>
      </c>
      <c r="C79" s="113" t="s">
        <v>693</v>
      </c>
      <c r="D79" s="78" t="s">
        <v>754</v>
      </c>
      <c r="E79" s="93" t="s">
        <v>596</v>
      </c>
      <c r="F79" s="95">
        <v>22000</v>
      </c>
    </row>
    <row r="80" spans="1:6" ht="210" x14ac:dyDescent="0.25">
      <c r="A80" s="93">
        <v>79</v>
      </c>
      <c r="B80" s="95" t="s">
        <v>628</v>
      </c>
      <c r="C80" s="113" t="s">
        <v>693</v>
      </c>
      <c r="D80" s="78" t="s">
        <v>755</v>
      </c>
      <c r="E80" s="93" t="s">
        <v>596</v>
      </c>
      <c r="F80" s="95">
        <v>26500</v>
      </c>
    </row>
    <row r="81" spans="1:6" ht="210" x14ac:dyDescent="0.25">
      <c r="A81" s="93">
        <v>80</v>
      </c>
      <c r="B81" s="95" t="s">
        <v>629</v>
      </c>
      <c r="C81" s="113" t="s">
        <v>693</v>
      </c>
      <c r="D81" s="78" t="s">
        <v>755</v>
      </c>
      <c r="E81" s="93" t="s">
        <v>596</v>
      </c>
      <c r="F81" s="95">
        <v>19500</v>
      </c>
    </row>
    <row r="82" spans="1:6" ht="18.75" x14ac:dyDescent="0.25">
      <c r="A82" s="93">
        <v>81</v>
      </c>
      <c r="B82" s="95" t="s">
        <v>630</v>
      </c>
      <c r="C82" s="113" t="s">
        <v>367</v>
      </c>
      <c r="D82" s="95"/>
      <c r="E82" s="93"/>
      <c r="F82" s="95">
        <v>7800</v>
      </c>
    </row>
    <row r="83" spans="1:6" ht="18.75" x14ac:dyDescent="0.25">
      <c r="A83" s="93">
        <v>82</v>
      </c>
      <c r="B83" s="95" t="s">
        <v>631</v>
      </c>
      <c r="C83" s="113" t="s">
        <v>367</v>
      </c>
      <c r="D83" s="95"/>
      <c r="E83" s="93"/>
      <c r="F83" s="95">
        <v>5000</v>
      </c>
    </row>
    <row r="84" spans="1:6" ht="18.75" x14ac:dyDescent="0.25">
      <c r="A84" s="93">
        <v>83</v>
      </c>
      <c r="B84" s="95"/>
      <c r="C84" s="113"/>
      <c r="D84" s="95"/>
      <c r="E84" s="93"/>
      <c r="F84" s="95"/>
    </row>
    <row r="85" spans="1:6" ht="18.75" x14ac:dyDescent="0.25">
      <c r="A85" s="93">
        <v>84</v>
      </c>
      <c r="B85" s="95"/>
      <c r="C85" s="113"/>
      <c r="D85" s="95"/>
      <c r="E85" s="93"/>
      <c r="F85" s="95"/>
    </row>
    <row r="86" spans="1:6" ht="18.75" x14ac:dyDescent="0.25">
      <c r="A86" s="93">
        <v>85</v>
      </c>
      <c r="B86" s="95"/>
      <c r="C86" s="113"/>
      <c r="D86" s="95"/>
      <c r="E86" s="93"/>
      <c r="F86" s="95"/>
    </row>
    <row r="87" spans="1:6" ht="93.75" x14ac:dyDescent="0.25">
      <c r="A87" s="93">
        <v>86</v>
      </c>
      <c r="B87" s="95" t="s">
        <v>615</v>
      </c>
      <c r="C87" s="113" t="s">
        <v>833</v>
      </c>
      <c r="D87" s="94" t="s">
        <v>747</v>
      </c>
      <c r="E87" s="93" t="s">
        <v>596</v>
      </c>
      <c r="F87" s="95">
        <v>1900</v>
      </c>
    </row>
    <row r="88" spans="1:6" ht="93.75" x14ac:dyDescent="0.25">
      <c r="A88" s="93">
        <v>87</v>
      </c>
      <c r="B88" s="95" t="s">
        <v>616</v>
      </c>
      <c r="C88" s="113" t="s">
        <v>833</v>
      </c>
      <c r="D88" s="94" t="s">
        <v>747</v>
      </c>
      <c r="E88" s="93" t="s">
        <v>596</v>
      </c>
      <c r="F88" s="95">
        <v>1400</v>
      </c>
    </row>
    <row r="89" spans="1:6" ht="93.75" x14ac:dyDescent="0.25">
      <c r="A89" s="93">
        <v>88</v>
      </c>
      <c r="B89" s="95" t="s">
        <v>617</v>
      </c>
      <c r="C89" s="113" t="s">
        <v>833</v>
      </c>
      <c r="D89" s="94" t="s">
        <v>747</v>
      </c>
      <c r="E89" s="93" t="s">
        <v>596</v>
      </c>
      <c r="F89" s="95">
        <v>3400</v>
      </c>
    </row>
    <row r="90" spans="1:6" ht="93.75" x14ac:dyDescent="0.25">
      <c r="A90" s="93">
        <v>89</v>
      </c>
      <c r="B90" s="95" t="s">
        <v>618</v>
      </c>
      <c r="C90" s="113" t="s">
        <v>833</v>
      </c>
      <c r="D90" s="94" t="s">
        <v>747</v>
      </c>
      <c r="E90" s="93" t="s">
        <v>596</v>
      </c>
      <c r="F90" s="95">
        <v>3200</v>
      </c>
    </row>
    <row r="91" spans="1:6" ht="93.75" x14ac:dyDescent="0.25">
      <c r="A91" s="93">
        <v>90</v>
      </c>
      <c r="B91" s="95" t="s">
        <v>619</v>
      </c>
      <c r="C91" s="113" t="s">
        <v>833</v>
      </c>
      <c r="D91" s="94" t="s">
        <v>747</v>
      </c>
      <c r="E91" s="93" t="s">
        <v>596</v>
      </c>
      <c r="F91" s="95">
        <v>2200</v>
      </c>
    </row>
    <row r="92" spans="1:6" ht="93.75" x14ac:dyDescent="0.25">
      <c r="A92" s="93">
        <v>91</v>
      </c>
      <c r="B92" s="95" t="s">
        <v>620</v>
      </c>
      <c r="C92" s="113" t="s">
        <v>833</v>
      </c>
      <c r="D92" s="94" t="s">
        <v>747</v>
      </c>
      <c r="E92" s="93" t="s">
        <v>596</v>
      </c>
      <c r="F92" s="95">
        <v>5500</v>
      </c>
    </row>
    <row r="93" spans="1:6" ht="93.75" x14ac:dyDescent="0.25">
      <c r="A93" s="93">
        <v>92</v>
      </c>
      <c r="B93" s="95" t="s">
        <v>622</v>
      </c>
      <c r="C93" s="113" t="s">
        <v>833</v>
      </c>
      <c r="D93" s="94" t="s">
        <v>748</v>
      </c>
      <c r="E93" s="93" t="s">
        <v>596</v>
      </c>
      <c r="F93" s="95">
        <v>2500</v>
      </c>
    </row>
    <row r="94" spans="1:6" ht="93.75" x14ac:dyDescent="0.25">
      <c r="A94" s="93">
        <v>93</v>
      </c>
      <c r="B94" s="95" t="s">
        <v>621</v>
      </c>
      <c r="C94" s="113" t="s">
        <v>833</v>
      </c>
      <c r="D94" s="94" t="s">
        <v>748</v>
      </c>
      <c r="E94" s="93" t="s">
        <v>596</v>
      </c>
      <c r="F94" s="95">
        <v>1500</v>
      </c>
    </row>
    <row r="95" spans="1:6" ht="93.75" x14ac:dyDescent="0.25">
      <c r="A95" s="93">
        <v>94</v>
      </c>
      <c r="B95" s="95" t="s">
        <v>623</v>
      </c>
      <c r="C95" s="113" t="s">
        <v>833</v>
      </c>
      <c r="D95" s="94" t="s">
        <v>748</v>
      </c>
      <c r="E95" s="93" t="s">
        <v>596</v>
      </c>
      <c r="F95" s="95">
        <v>5400</v>
      </c>
    </row>
    <row r="96" spans="1:6" ht="93.75" x14ac:dyDescent="0.25">
      <c r="A96" s="93">
        <v>95</v>
      </c>
      <c r="B96" s="95" t="s">
        <v>624</v>
      </c>
      <c r="C96" s="113" t="s">
        <v>833</v>
      </c>
      <c r="D96" s="94" t="s">
        <v>748</v>
      </c>
      <c r="E96" s="93" t="s">
        <v>596</v>
      </c>
      <c r="F96" s="95">
        <v>3600</v>
      </c>
    </row>
    <row r="97" spans="1:6" ht="93.75" x14ac:dyDescent="0.25">
      <c r="A97" s="93">
        <v>96</v>
      </c>
      <c r="B97" s="95" t="s">
        <v>625</v>
      </c>
      <c r="C97" s="113" t="s">
        <v>833</v>
      </c>
      <c r="D97" s="94" t="s">
        <v>748</v>
      </c>
      <c r="E97" s="93" t="s">
        <v>596</v>
      </c>
      <c r="F97" s="95">
        <v>2800</v>
      </c>
    </row>
    <row r="98" spans="1:6" ht="93.75" x14ac:dyDescent="0.25">
      <c r="A98" s="93">
        <v>97</v>
      </c>
      <c r="B98" s="95" t="s">
        <v>626</v>
      </c>
      <c r="C98" s="113" t="s">
        <v>833</v>
      </c>
      <c r="D98" s="94" t="s">
        <v>748</v>
      </c>
      <c r="E98" s="93" t="s">
        <v>596</v>
      </c>
      <c r="F98" s="95">
        <v>6400</v>
      </c>
    </row>
    <row r="99" spans="1:6" ht="93.75" x14ac:dyDescent="0.25">
      <c r="A99" s="93">
        <v>98</v>
      </c>
      <c r="B99" s="95" t="s">
        <v>585</v>
      </c>
      <c r="C99" s="113" t="s">
        <v>833</v>
      </c>
      <c r="D99" s="94" t="s">
        <v>749</v>
      </c>
      <c r="E99" s="93" t="s">
        <v>596</v>
      </c>
      <c r="F99" s="95">
        <v>500</v>
      </c>
    </row>
    <row r="100" spans="1:6" ht="93.75" x14ac:dyDescent="0.25">
      <c r="A100" s="93">
        <v>99</v>
      </c>
      <c r="B100" s="95" t="s">
        <v>587</v>
      </c>
      <c r="C100" s="113" t="s">
        <v>833</v>
      </c>
      <c r="D100" s="94" t="s">
        <v>750</v>
      </c>
      <c r="E100" s="93" t="s">
        <v>596</v>
      </c>
      <c r="F100" s="95">
        <v>500</v>
      </c>
    </row>
    <row r="101" spans="1:6" ht="93.75" x14ac:dyDescent="0.25">
      <c r="A101" s="93">
        <v>100</v>
      </c>
      <c r="B101" s="95" t="s">
        <v>586</v>
      </c>
      <c r="C101" s="113" t="s">
        <v>833</v>
      </c>
      <c r="D101" s="94" t="s">
        <v>751</v>
      </c>
      <c r="E101" s="93" t="s">
        <v>596</v>
      </c>
      <c r="F101" s="95"/>
    </row>
    <row r="102" spans="1:6" ht="18.75" x14ac:dyDescent="0.25">
      <c r="A102" s="93">
        <v>101</v>
      </c>
    </row>
    <row r="103" spans="1:6" ht="18.75" x14ac:dyDescent="0.25">
      <c r="A103" s="93">
        <v>102</v>
      </c>
    </row>
    <row r="104" spans="1:6" ht="18.75" x14ac:dyDescent="0.25">
      <c r="A104" s="93">
        <v>103</v>
      </c>
      <c r="E104" s="93"/>
      <c r="F104" s="95"/>
    </row>
    <row r="105" spans="1:6" ht="18.75" x14ac:dyDescent="0.25">
      <c r="A105" s="93">
        <v>104</v>
      </c>
      <c r="E105" s="93"/>
      <c r="F105" s="95"/>
    </row>
    <row r="106" spans="1:6" ht="18.75" x14ac:dyDescent="0.25">
      <c r="A106" s="93">
        <v>105</v>
      </c>
      <c r="B106" s="95"/>
      <c r="C106" s="113"/>
      <c r="D106" s="95"/>
      <c r="E106" s="93"/>
      <c r="F106" s="95"/>
    </row>
    <row r="107" spans="1:6" ht="18.75" x14ac:dyDescent="0.25">
      <c r="A107" s="93">
        <v>106</v>
      </c>
      <c r="B107" s="95"/>
      <c r="C107" s="113"/>
      <c r="D107" s="95"/>
      <c r="E107" s="93"/>
      <c r="F107" s="95"/>
    </row>
    <row r="108" spans="1:6" ht="18.75" x14ac:dyDescent="0.25">
      <c r="A108" s="93">
        <v>107</v>
      </c>
      <c r="B108" s="95"/>
      <c r="C108" s="113"/>
      <c r="D108" s="95"/>
      <c r="E108" s="93"/>
      <c r="F108" s="95"/>
    </row>
    <row r="109" spans="1:6" ht="18.75" x14ac:dyDescent="0.25">
      <c r="A109" s="93">
        <v>108</v>
      </c>
      <c r="B109" s="95"/>
      <c r="C109" s="113"/>
      <c r="D109" s="95"/>
      <c r="E109" s="93"/>
      <c r="F109" s="95"/>
    </row>
    <row r="110" spans="1:6" ht="18.75" x14ac:dyDescent="0.25">
      <c r="A110" s="93">
        <v>109</v>
      </c>
      <c r="B110" s="95"/>
      <c r="C110" s="113"/>
      <c r="D110" s="95"/>
      <c r="E110" s="93"/>
      <c r="F110" s="95"/>
    </row>
    <row r="111" spans="1:6" ht="75" x14ac:dyDescent="0.25">
      <c r="A111" s="93">
        <v>110</v>
      </c>
      <c r="B111" s="95" t="s">
        <v>763</v>
      </c>
      <c r="C111" s="113" t="s">
        <v>694</v>
      </c>
      <c r="D111" s="94" t="s">
        <v>766</v>
      </c>
      <c r="E111" s="93" t="s">
        <v>595</v>
      </c>
      <c r="F111" s="95">
        <v>40</v>
      </c>
    </row>
    <row r="112" spans="1:6" ht="93.75" x14ac:dyDescent="0.25">
      <c r="A112" s="93">
        <v>111</v>
      </c>
      <c r="B112" s="95" t="s">
        <v>764</v>
      </c>
      <c r="C112" s="113" t="s">
        <v>694</v>
      </c>
      <c r="D112" s="94" t="s">
        <v>768</v>
      </c>
      <c r="E112" s="93" t="s">
        <v>595</v>
      </c>
      <c r="F112" s="95">
        <v>60</v>
      </c>
    </row>
    <row r="113" spans="1:8" ht="93.75" x14ac:dyDescent="0.25">
      <c r="A113" s="93">
        <v>112</v>
      </c>
      <c r="B113" s="95" t="s">
        <v>765</v>
      </c>
      <c r="C113" s="113" t="s">
        <v>694</v>
      </c>
      <c r="D113" s="94" t="s">
        <v>816</v>
      </c>
      <c r="E113" s="93" t="s">
        <v>595</v>
      </c>
      <c r="F113" s="95">
        <v>80</v>
      </c>
    </row>
    <row r="114" spans="1:8" ht="75" x14ac:dyDescent="0.25">
      <c r="A114" s="93">
        <v>113</v>
      </c>
      <c r="B114" s="95" t="s">
        <v>759</v>
      </c>
      <c r="C114" s="113" t="s">
        <v>694</v>
      </c>
      <c r="D114" s="94" t="s">
        <v>767</v>
      </c>
      <c r="E114" s="93" t="s">
        <v>595</v>
      </c>
      <c r="F114" s="97">
        <v>58.590000000000011</v>
      </c>
    </row>
    <row r="115" spans="1:8" ht="93.75" x14ac:dyDescent="0.3">
      <c r="A115" s="93">
        <v>114</v>
      </c>
      <c r="B115" s="95" t="s">
        <v>760</v>
      </c>
      <c r="C115" s="113" t="s">
        <v>694</v>
      </c>
      <c r="D115" s="112" t="s">
        <v>772</v>
      </c>
      <c r="E115" s="93" t="s">
        <v>595</v>
      </c>
      <c r="F115" s="97">
        <v>86.1</v>
      </c>
    </row>
    <row r="116" spans="1:8" ht="93.75" x14ac:dyDescent="0.25">
      <c r="A116" s="93">
        <v>115</v>
      </c>
      <c r="B116" s="95" t="s">
        <v>761</v>
      </c>
      <c r="C116" s="113" t="s">
        <v>694</v>
      </c>
      <c r="D116" s="94" t="s">
        <v>773</v>
      </c>
      <c r="E116" s="93" t="s">
        <v>595</v>
      </c>
      <c r="F116" s="97">
        <v>126.84</v>
      </c>
    </row>
    <row r="117" spans="1:8" ht="93.75" x14ac:dyDescent="0.25">
      <c r="A117" s="93">
        <v>116</v>
      </c>
      <c r="B117" s="95" t="s">
        <v>762</v>
      </c>
      <c r="C117" s="113" t="s">
        <v>694</v>
      </c>
      <c r="D117" s="94" t="s">
        <v>773</v>
      </c>
      <c r="E117" s="93" t="s">
        <v>595</v>
      </c>
      <c r="F117" s="97">
        <v>242.34</v>
      </c>
    </row>
    <row r="118" spans="1:8" ht="93.75" x14ac:dyDescent="0.25">
      <c r="A118" s="93">
        <v>117</v>
      </c>
      <c r="B118" s="95" t="s">
        <v>606</v>
      </c>
      <c r="C118" s="113" t="s">
        <v>694</v>
      </c>
      <c r="D118" s="94" t="s">
        <v>774</v>
      </c>
      <c r="E118" s="93" t="s">
        <v>595</v>
      </c>
      <c r="F118" s="98">
        <v>126.10000000000002</v>
      </c>
      <c r="G118" s="98"/>
      <c r="H118" s="98"/>
    </row>
    <row r="119" spans="1:8" ht="93.75" x14ac:dyDescent="0.25">
      <c r="A119" s="93">
        <v>118</v>
      </c>
      <c r="B119" s="95" t="s">
        <v>607</v>
      </c>
      <c r="C119" s="113" t="s">
        <v>694</v>
      </c>
      <c r="D119" s="94" t="s">
        <v>775</v>
      </c>
      <c r="E119" s="93" t="s">
        <v>595</v>
      </c>
      <c r="F119" s="98">
        <v>165.10000000000002</v>
      </c>
      <c r="G119" s="98"/>
      <c r="H119" s="98"/>
    </row>
    <row r="120" spans="1:8" ht="93.75" x14ac:dyDescent="0.25">
      <c r="A120" s="93">
        <v>119</v>
      </c>
      <c r="B120" s="95" t="s">
        <v>597</v>
      </c>
      <c r="C120" s="113" t="s">
        <v>694</v>
      </c>
      <c r="D120" s="94" t="s">
        <v>776</v>
      </c>
      <c r="E120" s="93" t="s">
        <v>595</v>
      </c>
      <c r="F120" s="98">
        <v>187.46000000000004</v>
      </c>
      <c r="G120" s="98"/>
      <c r="H120" s="98"/>
    </row>
    <row r="121" spans="1:8" ht="112.5" x14ac:dyDescent="0.25">
      <c r="A121" s="93">
        <v>120</v>
      </c>
      <c r="B121" s="95" t="s">
        <v>598</v>
      </c>
      <c r="C121" s="113" t="s">
        <v>694</v>
      </c>
      <c r="D121" s="94" t="s">
        <v>777</v>
      </c>
      <c r="E121" s="93" t="s">
        <v>595</v>
      </c>
      <c r="F121" s="98">
        <v>254.01999999999998</v>
      </c>
      <c r="G121" s="98"/>
      <c r="H121" s="98"/>
    </row>
    <row r="122" spans="1:8" ht="93.75" x14ac:dyDescent="0.25">
      <c r="A122" s="93">
        <v>121</v>
      </c>
      <c r="B122" s="95" t="s">
        <v>599</v>
      </c>
      <c r="C122" s="113" t="s">
        <v>694</v>
      </c>
      <c r="D122" s="94" t="s">
        <v>778</v>
      </c>
      <c r="E122" s="93" t="s">
        <v>595</v>
      </c>
      <c r="F122" s="98">
        <v>342.15999999999997</v>
      </c>
      <c r="G122" s="98"/>
      <c r="H122" s="98"/>
    </row>
    <row r="123" spans="1:8" ht="93.75" x14ac:dyDescent="0.25">
      <c r="A123" s="93">
        <v>122</v>
      </c>
      <c r="B123" s="95" t="s">
        <v>600</v>
      </c>
      <c r="C123" s="113" t="s">
        <v>694</v>
      </c>
      <c r="D123" s="94" t="s">
        <v>779</v>
      </c>
      <c r="E123" s="93" t="s">
        <v>595</v>
      </c>
      <c r="F123" s="98">
        <v>427.18000000000006</v>
      </c>
      <c r="G123" s="98"/>
      <c r="H123" s="98"/>
    </row>
    <row r="124" spans="1:8" ht="112.5" x14ac:dyDescent="0.25">
      <c r="A124" s="93">
        <v>123</v>
      </c>
      <c r="B124" s="95" t="s">
        <v>601</v>
      </c>
      <c r="C124" s="113" t="s">
        <v>694</v>
      </c>
      <c r="D124" s="94" t="s">
        <v>780</v>
      </c>
      <c r="E124" s="93" t="s">
        <v>595</v>
      </c>
      <c r="F124" s="98">
        <v>535.07999999999993</v>
      </c>
      <c r="G124" s="98"/>
      <c r="H124" s="98"/>
    </row>
    <row r="125" spans="1:8" ht="112.5" x14ac:dyDescent="0.25">
      <c r="A125" s="93">
        <v>124</v>
      </c>
      <c r="B125" s="95" t="s">
        <v>602</v>
      </c>
      <c r="C125" s="113" t="s">
        <v>694</v>
      </c>
      <c r="D125" s="94" t="s">
        <v>781</v>
      </c>
      <c r="E125" s="93" t="s">
        <v>595</v>
      </c>
      <c r="F125" s="98">
        <v>634.1400000000001</v>
      </c>
      <c r="G125" s="98"/>
      <c r="H125" s="98"/>
    </row>
    <row r="126" spans="1:8" ht="112.5" x14ac:dyDescent="0.25">
      <c r="A126" s="93">
        <v>125</v>
      </c>
      <c r="B126" s="95" t="s">
        <v>603</v>
      </c>
      <c r="C126" s="113" t="s">
        <v>694</v>
      </c>
      <c r="D126" s="94" t="s">
        <v>782</v>
      </c>
      <c r="E126" s="93" t="s">
        <v>595</v>
      </c>
      <c r="F126" s="98">
        <v>802.88000000000011</v>
      </c>
      <c r="G126" s="98"/>
      <c r="H126" s="98"/>
    </row>
    <row r="127" spans="1:8" ht="112.5" x14ac:dyDescent="0.25">
      <c r="A127" s="93">
        <v>126</v>
      </c>
      <c r="B127" s="95" t="s">
        <v>604</v>
      </c>
      <c r="C127" s="113" t="s">
        <v>694</v>
      </c>
      <c r="D127" s="94" t="s">
        <v>783</v>
      </c>
      <c r="E127" s="93" t="s">
        <v>595</v>
      </c>
      <c r="F127" s="98">
        <v>1008.2800000000002</v>
      </c>
      <c r="G127" s="98"/>
      <c r="H127" s="98"/>
    </row>
    <row r="128" spans="1:8" ht="112.5" x14ac:dyDescent="0.25">
      <c r="A128" s="93">
        <v>127</v>
      </c>
      <c r="B128" s="95" t="s">
        <v>605</v>
      </c>
      <c r="C128" s="113" t="s">
        <v>694</v>
      </c>
      <c r="D128" s="94" t="s">
        <v>784</v>
      </c>
      <c r="E128" s="93" t="s">
        <v>595</v>
      </c>
      <c r="F128" s="98">
        <v>1240.46</v>
      </c>
      <c r="G128" s="98"/>
      <c r="H128" s="98"/>
    </row>
    <row r="129" spans="1:10" ht="18.75" x14ac:dyDescent="0.25">
      <c r="A129" s="93">
        <v>128</v>
      </c>
      <c r="B129" s="95"/>
      <c r="C129" s="113"/>
      <c r="D129" s="95"/>
      <c r="E129" s="93"/>
      <c r="F129" s="95"/>
    </row>
    <row r="130" spans="1:10" ht="18.75" x14ac:dyDescent="0.25">
      <c r="A130" s="93">
        <v>129</v>
      </c>
      <c r="B130" s="95"/>
      <c r="C130" s="113"/>
      <c r="D130" s="95"/>
      <c r="E130" s="93"/>
      <c r="F130" s="95"/>
    </row>
    <row r="131" spans="1:10" ht="18.75" x14ac:dyDescent="0.25">
      <c r="A131" s="93">
        <v>130</v>
      </c>
      <c r="B131" s="95"/>
      <c r="C131" s="113"/>
      <c r="D131" s="95"/>
      <c r="E131" s="93"/>
      <c r="F131" s="95"/>
    </row>
    <row r="132" spans="1:10" ht="18.75" x14ac:dyDescent="0.25">
      <c r="A132" s="93">
        <v>131</v>
      </c>
      <c r="B132" s="95"/>
      <c r="C132" s="113"/>
      <c r="D132" s="95"/>
      <c r="E132" s="93"/>
      <c r="F132" s="95"/>
    </row>
    <row r="133" spans="1:10" ht="18.75" x14ac:dyDescent="0.25">
      <c r="A133" s="93">
        <v>132</v>
      </c>
      <c r="B133" s="95"/>
      <c r="C133" s="113"/>
      <c r="D133" s="95"/>
      <c r="E133" s="93"/>
      <c r="F133" s="95"/>
    </row>
    <row r="134" spans="1:10" ht="18.75" x14ac:dyDescent="0.25">
      <c r="A134" s="93">
        <v>133</v>
      </c>
      <c r="B134" s="95"/>
      <c r="C134" s="113"/>
      <c r="D134" s="95"/>
      <c r="E134" s="93"/>
      <c r="F134" s="95"/>
    </row>
    <row r="135" spans="1:10" ht="18.75" x14ac:dyDescent="0.25">
      <c r="A135" s="93">
        <v>134</v>
      </c>
      <c r="B135" s="95"/>
      <c r="C135" s="113"/>
      <c r="D135" s="95"/>
      <c r="E135" s="93"/>
      <c r="F135" s="95"/>
    </row>
    <row r="136" spans="1:10" ht="75" x14ac:dyDescent="0.3">
      <c r="A136" s="93">
        <v>135</v>
      </c>
      <c r="B136" s="95" t="s">
        <v>608</v>
      </c>
      <c r="C136" s="113" t="s">
        <v>695</v>
      </c>
      <c r="D136" s="112" t="s">
        <v>785</v>
      </c>
      <c r="E136" s="93" t="s">
        <v>595</v>
      </c>
      <c r="F136" s="97">
        <v>26.11</v>
      </c>
      <c r="J136" s="98"/>
    </row>
    <row r="137" spans="1:10" ht="75" x14ac:dyDescent="0.25">
      <c r="A137" s="93">
        <v>136</v>
      </c>
      <c r="B137" s="95" t="s">
        <v>609</v>
      </c>
      <c r="C137" s="113" t="s">
        <v>695</v>
      </c>
      <c r="D137" s="94" t="s">
        <v>786</v>
      </c>
      <c r="E137" s="93" t="s">
        <v>595</v>
      </c>
      <c r="F137" s="97">
        <v>40.341000000000001</v>
      </c>
      <c r="J137" s="98"/>
    </row>
    <row r="138" spans="1:10" ht="75" x14ac:dyDescent="0.25">
      <c r="A138" s="93">
        <v>137</v>
      </c>
      <c r="B138" s="95" t="s">
        <v>610</v>
      </c>
      <c r="C138" s="113" t="s">
        <v>695</v>
      </c>
      <c r="D138" s="94" t="s">
        <v>787</v>
      </c>
      <c r="E138" s="93" t="s">
        <v>595</v>
      </c>
      <c r="F138" s="97">
        <v>60.343500000000006</v>
      </c>
      <c r="J138" s="98"/>
    </row>
    <row r="139" spans="1:10" ht="75" x14ac:dyDescent="0.25">
      <c r="A139" s="93">
        <v>138</v>
      </c>
      <c r="B139" s="95" t="s">
        <v>611</v>
      </c>
      <c r="C139" s="113" t="s">
        <v>695</v>
      </c>
      <c r="D139" s="94" t="s">
        <v>788</v>
      </c>
      <c r="E139" s="93" t="s">
        <v>595</v>
      </c>
      <c r="F139" s="97">
        <v>105.78750000000002</v>
      </c>
      <c r="J139" s="98"/>
    </row>
    <row r="140" spans="1:10" ht="75" x14ac:dyDescent="0.25">
      <c r="A140" s="93">
        <v>139</v>
      </c>
      <c r="B140" s="95" t="s">
        <v>632</v>
      </c>
      <c r="C140" s="113" t="s">
        <v>694</v>
      </c>
      <c r="D140" s="94" t="s">
        <v>789</v>
      </c>
      <c r="E140" s="93" t="s">
        <v>595</v>
      </c>
      <c r="F140" s="97">
        <v>167.71650000000002</v>
      </c>
      <c r="J140" s="98"/>
    </row>
    <row r="141" spans="1:10" ht="75" x14ac:dyDescent="0.25">
      <c r="A141" s="93">
        <v>140</v>
      </c>
      <c r="B141" s="95" t="s">
        <v>612</v>
      </c>
      <c r="C141" s="113" t="s">
        <v>902</v>
      </c>
      <c r="D141" s="94" t="s">
        <v>790</v>
      </c>
      <c r="E141" s="93" t="s">
        <v>595</v>
      </c>
      <c r="F141" s="97">
        <v>20</v>
      </c>
      <c r="J141" s="98"/>
    </row>
    <row r="142" spans="1:10" ht="75" x14ac:dyDescent="0.25">
      <c r="A142" s="93">
        <v>141</v>
      </c>
      <c r="B142" s="95" t="s">
        <v>613</v>
      </c>
      <c r="C142" s="113" t="s">
        <v>367</v>
      </c>
      <c r="D142" s="94" t="s">
        <v>791</v>
      </c>
      <c r="E142" s="93" t="s">
        <v>595</v>
      </c>
      <c r="F142" s="95">
        <v>35</v>
      </c>
    </row>
    <row r="143" spans="1:10" ht="18.75" x14ac:dyDescent="0.25">
      <c r="A143" s="93">
        <v>142</v>
      </c>
      <c r="B143" s="95"/>
      <c r="C143" s="113"/>
      <c r="D143" s="95"/>
      <c r="E143" s="93"/>
      <c r="F143" s="95"/>
    </row>
    <row r="144" spans="1:10" ht="18.75" x14ac:dyDescent="0.25">
      <c r="A144" s="93">
        <v>143</v>
      </c>
      <c r="B144" s="95"/>
      <c r="C144" s="113"/>
      <c r="D144" s="95"/>
      <c r="E144" s="93"/>
      <c r="F144" s="95"/>
    </row>
    <row r="145" spans="1:6" ht="18.75" x14ac:dyDescent="0.25">
      <c r="A145" s="93">
        <v>144</v>
      </c>
      <c r="B145" s="95"/>
      <c r="C145" s="113"/>
      <c r="D145" s="95"/>
      <c r="E145" s="93"/>
      <c r="F145" s="95"/>
    </row>
    <row r="146" spans="1:6" ht="18.75" x14ac:dyDescent="0.25">
      <c r="A146" s="93">
        <v>145</v>
      </c>
      <c r="B146" s="95"/>
      <c r="C146" s="113"/>
      <c r="D146" s="95"/>
      <c r="E146" s="93"/>
      <c r="F146" s="95"/>
    </row>
    <row r="147" spans="1:6" ht="75" x14ac:dyDescent="0.25">
      <c r="A147" s="93">
        <v>146</v>
      </c>
      <c r="B147" s="8" t="s">
        <v>727</v>
      </c>
      <c r="C147" s="113" t="s">
        <v>654</v>
      </c>
      <c r="D147" s="94" t="s">
        <v>798</v>
      </c>
      <c r="E147" s="93" t="s">
        <v>595</v>
      </c>
      <c r="F147" s="95">
        <v>230</v>
      </c>
    </row>
    <row r="148" spans="1:6" ht="75" x14ac:dyDescent="0.25">
      <c r="A148" s="93">
        <v>147</v>
      </c>
      <c r="B148" s="8" t="s">
        <v>728</v>
      </c>
      <c r="C148" s="113" t="s">
        <v>654</v>
      </c>
      <c r="D148" s="94" t="s">
        <v>799</v>
      </c>
      <c r="E148" s="93" t="s">
        <v>595</v>
      </c>
      <c r="F148" s="95">
        <v>230</v>
      </c>
    </row>
    <row r="149" spans="1:6" ht="75" x14ac:dyDescent="0.25">
      <c r="A149" s="93">
        <v>148</v>
      </c>
      <c r="B149" s="8" t="s">
        <v>729</v>
      </c>
      <c r="C149" s="113" t="s">
        <v>654</v>
      </c>
      <c r="D149" s="94" t="s">
        <v>800</v>
      </c>
      <c r="E149" s="93" t="s">
        <v>595</v>
      </c>
      <c r="F149" s="95">
        <v>350</v>
      </c>
    </row>
    <row r="150" spans="1:6" ht="75" x14ac:dyDescent="0.25">
      <c r="A150" s="93">
        <v>149</v>
      </c>
      <c r="B150" s="8" t="s">
        <v>730</v>
      </c>
      <c r="C150" s="113" t="s">
        <v>654</v>
      </c>
      <c r="D150" s="94" t="s">
        <v>801</v>
      </c>
      <c r="E150" s="93" t="s">
        <v>595</v>
      </c>
      <c r="F150" s="95">
        <v>480</v>
      </c>
    </row>
    <row r="151" spans="1:6" ht="75" x14ac:dyDescent="0.25">
      <c r="A151" s="93">
        <v>150</v>
      </c>
      <c r="B151" s="8" t="s">
        <v>731</v>
      </c>
      <c r="C151" s="113" t="s">
        <v>654</v>
      </c>
      <c r="D151" s="94" t="s">
        <v>802</v>
      </c>
      <c r="E151" s="93" t="s">
        <v>595</v>
      </c>
      <c r="F151" s="95">
        <v>530</v>
      </c>
    </row>
    <row r="152" spans="1:6" ht="75" x14ac:dyDescent="0.25">
      <c r="A152" s="93">
        <v>151</v>
      </c>
      <c r="B152" s="8" t="s">
        <v>732</v>
      </c>
      <c r="C152" s="113" t="s">
        <v>654</v>
      </c>
      <c r="D152" s="94" t="s">
        <v>803</v>
      </c>
      <c r="E152" s="93" t="s">
        <v>595</v>
      </c>
      <c r="F152" s="95">
        <v>700</v>
      </c>
    </row>
    <row r="153" spans="1:6" ht="18.75" x14ac:dyDescent="0.25">
      <c r="A153" s="93">
        <v>152</v>
      </c>
      <c r="C153" s="113"/>
      <c r="D153" s="95"/>
      <c r="E153" s="93" t="s">
        <v>595</v>
      </c>
      <c r="F153" s="95"/>
    </row>
    <row r="154" spans="1:6" ht="18.75" x14ac:dyDescent="0.25">
      <c r="A154" s="93">
        <v>153</v>
      </c>
      <c r="B154" s="95"/>
      <c r="C154" s="113"/>
      <c r="D154" s="95"/>
      <c r="E154" s="93" t="s">
        <v>595</v>
      </c>
      <c r="F154" s="95"/>
    </row>
    <row r="155" spans="1:6" ht="18.75" x14ac:dyDescent="0.25">
      <c r="A155" s="93">
        <v>154</v>
      </c>
      <c r="B155" s="95"/>
      <c r="C155" s="113"/>
      <c r="D155" s="95"/>
      <c r="E155" s="93" t="s">
        <v>595</v>
      </c>
      <c r="F155" s="95"/>
    </row>
    <row r="156" spans="1:6" ht="75" x14ac:dyDescent="0.3">
      <c r="A156" s="93">
        <v>155</v>
      </c>
      <c r="B156" s="95" t="s">
        <v>792</v>
      </c>
      <c r="C156" s="113" t="s">
        <v>367</v>
      </c>
      <c r="D156" s="112" t="s">
        <v>804</v>
      </c>
      <c r="E156" s="93" t="s">
        <v>595</v>
      </c>
      <c r="F156" s="95"/>
    </row>
    <row r="157" spans="1:6" ht="75" x14ac:dyDescent="0.3">
      <c r="A157" s="93">
        <v>156</v>
      </c>
      <c r="B157" s="95" t="s">
        <v>793</v>
      </c>
      <c r="C157" s="113" t="s">
        <v>367</v>
      </c>
      <c r="D157" s="112" t="s">
        <v>805</v>
      </c>
      <c r="E157" s="93" t="s">
        <v>595</v>
      </c>
      <c r="F157" s="95"/>
    </row>
    <row r="158" spans="1:6" ht="75" x14ac:dyDescent="0.3">
      <c r="A158" s="93">
        <v>157</v>
      </c>
      <c r="B158" s="95" t="s">
        <v>794</v>
      </c>
      <c r="C158" s="113" t="s">
        <v>367</v>
      </c>
      <c r="D158" s="112" t="s">
        <v>806</v>
      </c>
      <c r="E158" s="93" t="s">
        <v>595</v>
      </c>
      <c r="F158" s="95"/>
    </row>
    <row r="159" spans="1:6" ht="75" x14ac:dyDescent="0.3">
      <c r="A159" s="93">
        <v>158</v>
      </c>
      <c r="B159" s="95" t="s">
        <v>795</v>
      </c>
      <c r="C159" s="113" t="s">
        <v>367</v>
      </c>
      <c r="D159" s="112" t="s">
        <v>807</v>
      </c>
      <c r="E159" s="93" t="s">
        <v>595</v>
      </c>
      <c r="F159" s="95"/>
    </row>
    <row r="160" spans="1:6" ht="75" x14ac:dyDescent="0.3">
      <c r="A160" s="93">
        <v>159</v>
      </c>
      <c r="B160" s="95" t="s">
        <v>796</v>
      </c>
      <c r="C160" s="113" t="s">
        <v>367</v>
      </c>
      <c r="D160" s="112" t="s">
        <v>808</v>
      </c>
      <c r="E160" s="93" t="s">
        <v>595</v>
      </c>
      <c r="F160" s="95"/>
    </row>
    <row r="161" spans="1:6" ht="75" x14ac:dyDescent="0.3">
      <c r="A161" s="93">
        <v>160</v>
      </c>
      <c r="B161" s="95" t="s">
        <v>797</v>
      </c>
      <c r="C161" s="113" t="s">
        <v>367</v>
      </c>
      <c r="D161" s="112" t="s">
        <v>809</v>
      </c>
      <c r="E161" s="93" t="s">
        <v>595</v>
      </c>
    </row>
    <row r="162" spans="1:6" ht="18.75" x14ac:dyDescent="0.25">
      <c r="A162" s="93">
        <v>161</v>
      </c>
      <c r="E162" s="93"/>
    </row>
    <row r="163" spans="1:6" ht="18.75" x14ac:dyDescent="0.25">
      <c r="A163" s="93">
        <v>162</v>
      </c>
      <c r="E163" s="93"/>
    </row>
    <row r="164" spans="1:6" ht="18.75" x14ac:dyDescent="0.25">
      <c r="A164" s="93">
        <v>163</v>
      </c>
      <c r="E164" s="93"/>
    </row>
    <row r="165" spans="1:6" ht="18.75" x14ac:dyDescent="0.25">
      <c r="A165" s="93">
        <v>164</v>
      </c>
      <c r="E165" s="93"/>
    </row>
    <row r="166" spans="1:6" ht="75" x14ac:dyDescent="0.3">
      <c r="A166" s="93">
        <v>165</v>
      </c>
      <c r="B166" s="8" t="s">
        <v>700</v>
      </c>
      <c r="C166" s="102" t="s">
        <v>703</v>
      </c>
      <c r="D166" s="112" t="s">
        <v>810</v>
      </c>
      <c r="E166" s="93" t="s">
        <v>596</v>
      </c>
      <c r="F166" s="8">
        <v>60</v>
      </c>
    </row>
    <row r="167" spans="1:6" ht="56.25" x14ac:dyDescent="0.3">
      <c r="A167" s="93">
        <v>166</v>
      </c>
      <c r="B167" s="8" t="s">
        <v>701</v>
      </c>
      <c r="C167" s="102" t="s">
        <v>703</v>
      </c>
      <c r="D167" s="112" t="s">
        <v>811</v>
      </c>
      <c r="E167" s="93" t="s">
        <v>596</v>
      </c>
      <c r="F167" s="8">
        <v>75</v>
      </c>
    </row>
    <row r="168" spans="1:6" ht="75" x14ac:dyDescent="0.3">
      <c r="A168" s="93">
        <v>167</v>
      </c>
      <c r="B168" s="8" t="s">
        <v>702</v>
      </c>
      <c r="C168" s="102" t="s">
        <v>703</v>
      </c>
      <c r="D168" s="112" t="s">
        <v>812</v>
      </c>
      <c r="E168" s="93" t="s">
        <v>596</v>
      </c>
      <c r="F168" s="8">
        <v>110</v>
      </c>
    </row>
    <row r="169" spans="1:6" ht="18.75" x14ac:dyDescent="0.25">
      <c r="A169" s="93">
        <v>168</v>
      </c>
      <c r="D169" s="94"/>
      <c r="E169" s="93"/>
    </row>
    <row r="170" spans="1:6" ht="18.75" x14ac:dyDescent="0.25">
      <c r="A170" s="93">
        <v>169</v>
      </c>
      <c r="E170" s="93"/>
    </row>
    <row r="171" spans="1:6" ht="18.75" x14ac:dyDescent="0.25">
      <c r="A171" s="93">
        <v>170</v>
      </c>
      <c r="E171" s="93"/>
    </row>
    <row r="172" spans="1:6" ht="18.75" x14ac:dyDescent="0.25">
      <c r="A172" s="93">
        <v>171</v>
      </c>
      <c r="E172" s="93"/>
    </row>
    <row r="173" spans="1:6" ht="18.75" x14ac:dyDescent="0.25">
      <c r="A173" s="93">
        <v>172</v>
      </c>
      <c r="E173" s="93"/>
    </row>
    <row r="174" spans="1:6" ht="18.75" x14ac:dyDescent="0.25">
      <c r="A174" s="93">
        <v>173</v>
      </c>
      <c r="E174" s="93"/>
    </row>
    <row r="175" spans="1:6" ht="18.75" x14ac:dyDescent="0.25">
      <c r="A175" s="93">
        <v>174</v>
      </c>
      <c r="E175" s="93"/>
    </row>
    <row r="176" spans="1:6" ht="93.75" x14ac:dyDescent="0.3">
      <c r="A176" s="93">
        <v>175</v>
      </c>
      <c r="B176" s="95" t="s">
        <v>769</v>
      </c>
      <c r="C176" s="113" t="s">
        <v>654</v>
      </c>
      <c r="D176" s="112" t="s">
        <v>813</v>
      </c>
      <c r="E176" s="93" t="s">
        <v>595</v>
      </c>
      <c r="F176" s="95">
        <v>370</v>
      </c>
    </row>
    <row r="177" spans="1:6" ht="93.75" x14ac:dyDescent="0.3">
      <c r="A177" s="93">
        <v>176</v>
      </c>
      <c r="B177" s="95" t="s">
        <v>770</v>
      </c>
      <c r="C177" s="113" t="s">
        <v>654</v>
      </c>
      <c r="D177" s="112" t="s">
        <v>814</v>
      </c>
      <c r="E177" s="93" t="s">
        <v>595</v>
      </c>
      <c r="F177" s="95">
        <v>400</v>
      </c>
    </row>
    <row r="178" spans="1:6" ht="18.75" x14ac:dyDescent="0.25">
      <c r="A178" s="93">
        <v>177</v>
      </c>
    </row>
    <row r="179" spans="1:6" ht="18.75" x14ac:dyDescent="0.25">
      <c r="A179" s="93">
        <v>178</v>
      </c>
      <c r="B179" s="95"/>
      <c r="C179" s="113"/>
      <c r="D179" s="95"/>
      <c r="E179" s="93"/>
      <c r="F179" s="95"/>
    </row>
    <row r="180" spans="1:6" ht="18.75" x14ac:dyDescent="0.25">
      <c r="A180" s="93">
        <v>179</v>
      </c>
    </row>
    <row r="181" spans="1:6" ht="18.75" x14ac:dyDescent="0.25">
      <c r="A181" s="93">
        <v>180</v>
      </c>
    </row>
    <row r="182" spans="1:6" ht="75" x14ac:dyDescent="0.3">
      <c r="A182" s="93">
        <v>181</v>
      </c>
      <c r="B182" s="8" t="s">
        <v>704</v>
      </c>
      <c r="C182" s="102" t="s">
        <v>771</v>
      </c>
      <c r="D182" s="112" t="s">
        <v>815</v>
      </c>
      <c r="E182" s="34" t="s">
        <v>596</v>
      </c>
      <c r="F182" s="8">
        <v>32</v>
      </c>
    </row>
    <row r="183" spans="1:6" ht="18.75" x14ac:dyDescent="0.25">
      <c r="A183" s="93">
        <v>182</v>
      </c>
    </row>
    <row r="184" spans="1:6" ht="18.75" x14ac:dyDescent="0.25">
      <c r="A184" s="93">
        <v>183</v>
      </c>
    </row>
    <row r="185" spans="1:6" ht="18.75" x14ac:dyDescent="0.25">
      <c r="A185" s="93">
        <v>184</v>
      </c>
    </row>
    <row r="186" spans="1:6" ht="18.75" x14ac:dyDescent="0.25">
      <c r="A186" s="93">
        <v>185</v>
      </c>
    </row>
    <row r="187" spans="1:6" ht="18.75" x14ac:dyDescent="0.25">
      <c r="A187" s="93">
        <v>186</v>
      </c>
    </row>
    <row r="188" spans="1:6" ht="18.75" x14ac:dyDescent="0.25">
      <c r="A188" s="93">
        <v>187</v>
      </c>
    </row>
    <row r="189" spans="1:6" ht="18.75" x14ac:dyDescent="0.25">
      <c r="A189" s="93">
        <v>188</v>
      </c>
    </row>
    <row r="190" spans="1:6" ht="18.75" x14ac:dyDescent="0.25">
      <c r="A190" s="93">
        <v>189</v>
      </c>
    </row>
    <row r="191" spans="1:6" ht="18.75" x14ac:dyDescent="0.25">
      <c r="A191" s="93">
        <v>190</v>
      </c>
    </row>
    <row r="192" spans="1:6" ht="18.75" x14ac:dyDescent="0.25">
      <c r="A192" s="93">
        <v>191</v>
      </c>
    </row>
    <row r="193" spans="1:1" ht="18.75" x14ac:dyDescent="0.25">
      <c r="A193" s="93">
        <v>192</v>
      </c>
    </row>
    <row r="194" spans="1:1" ht="18.75" x14ac:dyDescent="0.25">
      <c r="A194" s="93">
        <v>193</v>
      </c>
    </row>
    <row r="195" spans="1:1" ht="18.75" x14ac:dyDescent="0.25">
      <c r="A195" s="93">
        <v>194</v>
      </c>
    </row>
    <row r="196" spans="1:1" ht="18.75" x14ac:dyDescent="0.25">
      <c r="A196" s="93">
        <v>195</v>
      </c>
    </row>
    <row r="197" spans="1:1" ht="18.75" x14ac:dyDescent="0.25">
      <c r="A197" s="93">
        <v>196</v>
      </c>
    </row>
    <row r="198" spans="1:1" ht="18.75" x14ac:dyDescent="0.25">
      <c r="A198" s="93">
        <v>197</v>
      </c>
    </row>
    <row r="199" spans="1:1" ht="18.75" x14ac:dyDescent="0.25">
      <c r="A199" s="93">
        <v>198</v>
      </c>
    </row>
    <row r="200" spans="1:1" ht="18.75" x14ac:dyDescent="0.25">
      <c r="A200" s="93">
        <v>199</v>
      </c>
    </row>
    <row r="201" spans="1:1" ht="18.75" x14ac:dyDescent="0.25">
      <c r="A201" s="93">
        <v>200</v>
      </c>
    </row>
    <row r="202" spans="1:1" ht="18.75" x14ac:dyDescent="0.25">
      <c r="A202" s="93">
        <v>201</v>
      </c>
    </row>
    <row r="203" spans="1:1" ht="18.75" x14ac:dyDescent="0.25">
      <c r="A203" s="93">
        <v>202</v>
      </c>
    </row>
  </sheetData>
  <autoFilter ref="A1:F203"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3"/>
  <sheetViews>
    <sheetView zoomScaleNormal="100" workbookViewId="0">
      <selection activeCell="D23" sqref="D23"/>
    </sheetView>
  </sheetViews>
  <sheetFormatPr defaultRowHeight="15" x14ac:dyDescent="0.25"/>
  <cols>
    <col min="1" max="1" width="5.85546875" bestFit="1" customWidth="1"/>
    <col min="2" max="2" width="51.42578125" bestFit="1" customWidth="1"/>
    <col min="3" max="3" width="56.42578125" bestFit="1" customWidth="1"/>
    <col min="4" max="4" width="12.7109375" bestFit="1" customWidth="1"/>
    <col min="5" max="5" width="23.140625" bestFit="1" customWidth="1"/>
    <col min="6" max="6" width="6" bestFit="1" customWidth="1"/>
    <col min="7" max="7" width="23.28515625" bestFit="1" customWidth="1"/>
    <col min="8" max="8" width="29.85546875" bestFit="1" customWidth="1"/>
    <col min="9" max="9" width="50.5703125" bestFit="1" customWidth="1"/>
    <col min="10" max="10" width="9.7109375" bestFit="1" customWidth="1"/>
    <col min="11" max="11" width="57.140625" bestFit="1" customWidth="1"/>
    <col min="12" max="12" width="8.5703125" bestFit="1" customWidth="1"/>
    <col min="13" max="13" width="17.5703125" bestFit="1" customWidth="1"/>
    <col min="14" max="14" width="18.140625" bestFit="1" customWidth="1"/>
    <col min="16" max="16" width="8.85546875" bestFit="1" customWidth="1"/>
    <col min="17" max="17" width="8.28515625" bestFit="1" customWidth="1"/>
    <col min="18" max="18" width="9" bestFit="1" customWidth="1"/>
    <col min="19" max="19" width="8.85546875" bestFit="1" customWidth="1"/>
    <col min="21" max="21" width="8.85546875" bestFit="1" customWidth="1"/>
  </cols>
  <sheetData>
    <row r="1" spans="2:23" ht="42.75" x14ac:dyDescent="0.25">
      <c r="B1" s="10" t="s">
        <v>41</v>
      </c>
      <c r="C1" s="10" t="s">
        <v>42</v>
      </c>
      <c r="D1" s="10" t="s">
        <v>43</v>
      </c>
      <c r="E1" s="10" t="s">
        <v>84</v>
      </c>
      <c r="F1" s="10" t="s">
        <v>44</v>
      </c>
      <c r="G1" s="11" t="s">
        <v>45</v>
      </c>
      <c r="H1" s="11" t="s">
        <v>516</v>
      </c>
      <c r="I1" s="11" t="s">
        <v>46</v>
      </c>
      <c r="J1" s="11" t="s">
        <v>47</v>
      </c>
      <c r="K1" s="11" t="s">
        <v>48</v>
      </c>
      <c r="L1" s="11" t="s">
        <v>49</v>
      </c>
      <c r="M1" s="11" t="s">
        <v>519</v>
      </c>
      <c r="P1" s="11" t="s">
        <v>50</v>
      </c>
      <c r="Q1" s="11" t="s">
        <v>51</v>
      </c>
      <c r="R1" s="11" t="s">
        <v>52</v>
      </c>
      <c r="S1" s="11" t="s">
        <v>53</v>
      </c>
      <c r="T1" s="11" t="s">
        <v>54</v>
      </c>
      <c r="U1" s="11" t="s">
        <v>55</v>
      </c>
      <c r="W1" s="11" t="s">
        <v>2</v>
      </c>
    </row>
    <row r="2" spans="2:23" x14ac:dyDescent="0.25">
      <c r="B2" s="12" t="s">
        <v>56</v>
      </c>
      <c r="C2" t="s">
        <v>57</v>
      </c>
      <c r="D2" t="s">
        <v>379</v>
      </c>
      <c r="E2" t="s">
        <v>85</v>
      </c>
      <c r="F2">
        <v>3500</v>
      </c>
      <c r="G2" t="s">
        <v>58</v>
      </c>
      <c r="H2" t="s">
        <v>517</v>
      </c>
      <c r="I2" t="s">
        <v>59</v>
      </c>
      <c r="J2">
        <v>4.0999999999999996</v>
      </c>
      <c r="K2" s="13">
        <f>QUOTATION!A23*DATA!J2*31</f>
        <v>1921.7519999999997</v>
      </c>
      <c r="L2" s="13">
        <f>K2*8</f>
        <v>15374.015999999998</v>
      </c>
      <c r="M2" t="s">
        <v>520</v>
      </c>
      <c r="N2" t="s">
        <v>10</v>
      </c>
      <c r="P2">
        <v>535</v>
      </c>
      <c r="Q2">
        <v>2</v>
      </c>
      <c r="R2" s="14">
        <f>Q2*P2/1000</f>
        <v>1.07</v>
      </c>
      <c r="S2">
        <f>20000*Q2</f>
        <v>40000</v>
      </c>
      <c r="T2">
        <v>15500</v>
      </c>
      <c r="W2" t="s">
        <v>90</v>
      </c>
    </row>
    <row r="3" spans="2:23" x14ac:dyDescent="0.25">
      <c r="B3" s="12" t="s">
        <v>79</v>
      </c>
      <c r="C3" t="s">
        <v>57</v>
      </c>
      <c r="D3" t="s">
        <v>380</v>
      </c>
      <c r="E3" t="s">
        <v>86</v>
      </c>
      <c r="F3">
        <v>3500</v>
      </c>
      <c r="G3" t="s">
        <v>60</v>
      </c>
      <c r="H3" t="s">
        <v>518</v>
      </c>
      <c r="I3" t="s">
        <v>59</v>
      </c>
      <c r="J3">
        <v>4.5999999999999996</v>
      </c>
      <c r="K3" s="13">
        <f>QUOTATION!A23*DATA!J3*31</f>
        <v>2156.1119999999996</v>
      </c>
      <c r="L3" s="13">
        <f t="shared" ref="L3:L14" si="0">K3*8</f>
        <v>17248.895999999997</v>
      </c>
      <c r="M3" t="s">
        <v>521</v>
      </c>
      <c r="N3" t="s">
        <v>10</v>
      </c>
      <c r="P3">
        <v>535</v>
      </c>
      <c r="Q3">
        <v>3</v>
      </c>
      <c r="R3" s="14">
        <f t="shared" ref="R3:R8" si="1">Q3*P3/1000</f>
        <v>1.605</v>
      </c>
      <c r="S3">
        <f t="shared" ref="S3:S8" si="2">20000*Q3</f>
        <v>60000</v>
      </c>
      <c r="T3">
        <v>17500</v>
      </c>
      <c r="W3" t="s">
        <v>91</v>
      </c>
    </row>
    <row r="4" spans="2:23" x14ac:dyDescent="0.25">
      <c r="B4" s="12" t="s">
        <v>80</v>
      </c>
      <c r="C4" t="s">
        <v>61</v>
      </c>
      <c r="D4" t="s">
        <v>379</v>
      </c>
      <c r="E4" t="s">
        <v>87</v>
      </c>
      <c r="F4">
        <v>5500</v>
      </c>
      <c r="G4" t="s">
        <v>62</v>
      </c>
      <c r="I4" t="s">
        <v>63</v>
      </c>
      <c r="J4">
        <v>4.5999999999999996</v>
      </c>
      <c r="K4" s="13">
        <f>QUOTATION!A23*DATA!J4*28</f>
        <v>1947.4559999999997</v>
      </c>
      <c r="L4" s="13">
        <f t="shared" si="0"/>
        <v>15579.647999999997</v>
      </c>
      <c r="N4" t="s">
        <v>64</v>
      </c>
      <c r="P4">
        <v>535</v>
      </c>
      <c r="Q4">
        <v>4</v>
      </c>
      <c r="R4" s="14">
        <f t="shared" si="1"/>
        <v>2.14</v>
      </c>
      <c r="S4">
        <f t="shared" si="2"/>
        <v>80000</v>
      </c>
      <c r="T4">
        <v>40000</v>
      </c>
      <c r="W4" t="s">
        <v>92</v>
      </c>
    </row>
    <row r="5" spans="2:23" x14ac:dyDescent="0.25">
      <c r="B5" s="12" t="s">
        <v>81</v>
      </c>
      <c r="E5" t="s">
        <v>88</v>
      </c>
      <c r="G5" t="s">
        <v>65</v>
      </c>
      <c r="I5" t="s">
        <v>66</v>
      </c>
      <c r="J5">
        <v>5</v>
      </c>
      <c r="K5" s="13">
        <f>QUOTATION!A23*DATA!J5*31</f>
        <v>2343.6</v>
      </c>
      <c r="L5" s="13">
        <f t="shared" si="0"/>
        <v>18748.8</v>
      </c>
      <c r="N5" t="s">
        <v>67</v>
      </c>
      <c r="P5">
        <v>535</v>
      </c>
      <c r="Q5">
        <v>5</v>
      </c>
      <c r="R5" s="14">
        <f t="shared" si="1"/>
        <v>2.6749999999999998</v>
      </c>
      <c r="S5">
        <f t="shared" si="2"/>
        <v>100000</v>
      </c>
      <c r="T5">
        <v>60000</v>
      </c>
    </row>
    <row r="6" spans="2:23" x14ac:dyDescent="0.25">
      <c r="B6" s="12" t="s">
        <v>82</v>
      </c>
      <c r="E6" t="s">
        <v>89</v>
      </c>
      <c r="G6" t="s">
        <v>103</v>
      </c>
      <c r="I6" t="s">
        <v>68</v>
      </c>
      <c r="J6">
        <v>5</v>
      </c>
      <c r="K6" s="13">
        <f>QUOTATION!A23*DATA!J6*30</f>
        <v>2268</v>
      </c>
      <c r="L6" s="13">
        <f t="shared" si="0"/>
        <v>18144</v>
      </c>
      <c r="N6" t="s">
        <v>206</v>
      </c>
      <c r="P6">
        <v>535</v>
      </c>
      <c r="Q6">
        <v>6</v>
      </c>
      <c r="R6" s="14">
        <f t="shared" si="1"/>
        <v>3.21</v>
      </c>
      <c r="S6">
        <f t="shared" si="2"/>
        <v>120000</v>
      </c>
      <c r="T6">
        <v>74500</v>
      </c>
    </row>
    <row r="7" spans="2:23" x14ac:dyDescent="0.25">
      <c r="B7" s="12" t="s">
        <v>83</v>
      </c>
      <c r="E7" t="s">
        <v>105</v>
      </c>
      <c r="G7" t="s">
        <v>253</v>
      </c>
      <c r="I7" t="s">
        <v>69</v>
      </c>
      <c r="J7">
        <v>5</v>
      </c>
      <c r="K7" s="13">
        <f>QUOTATION!A23*DATA!J7*31</f>
        <v>2343.6</v>
      </c>
      <c r="L7" s="13">
        <f t="shared" si="0"/>
        <v>18748.8</v>
      </c>
      <c r="N7" t="s">
        <v>70</v>
      </c>
      <c r="P7">
        <v>535</v>
      </c>
      <c r="Q7">
        <v>7</v>
      </c>
      <c r="R7" s="14">
        <f t="shared" si="1"/>
        <v>3.7450000000000001</v>
      </c>
      <c r="S7">
        <f t="shared" si="2"/>
        <v>140000</v>
      </c>
      <c r="T7">
        <v>74500</v>
      </c>
    </row>
    <row r="8" spans="2:23" x14ac:dyDescent="0.25">
      <c r="B8" s="12" t="s">
        <v>136</v>
      </c>
      <c r="G8" t="s">
        <v>138</v>
      </c>
      <c r="I8" t="s">
        <v>71</v>
      </c>
      <c r="J8">
        <v>5</v>
      </c>
      <c r="K8" s="13">
        <f>QUOTATION!A23*DATA!J8*30</f>
        <v>2268</v>
      </c>
      <c r="L8" s="13">
        <f t="shared" si="0"/>
        <v>18144</v>
      </c>
      <c r="N8" t="s">
        <v>72</v>
      </c>
      <c r="P8">
        <v>535</v>
      </c>
      <c r="Q8">
        <v>8</v>
      </c>
      <c r="R8" s="14">
        <f t="shared" si="1"/>
        <v>4.28</v>
      </c>
      <c r="S8">
        <f t="shared" si="2"/>
        <v>160000</v>
      </c>
    </row>
    <row r="9" spans="2:23" x14ac:dyDescent="0.25">
      <c r="B9" s="65" t="s">
        <v>254</v>
      </c>
      <c r="G9" t="s">
        <v>142</v>
      </c>
      <c r="I9" t="s">
        <v>73</v>
      </c>
      <c r="J9">
        <v>4.0999999999999996</v>
      </c>
      <c r="K9" s="13">
        <f>QUOTATION!A23*DATA!J9*31</f>
        <v>1921.7519999999997</v>
      </c>
      <c r="L9" s="13">
        <f t="shared" si="0"/>
        <v>15374.015999999998</v>
      </c>
      <c r="N9" t="s">
        <v>48</v>
      </c>
      <c r="R9" s="14"/>
    </row>
    <row r="10" spans="2:23" x14ac:dyDescent="0.25">
      <c r="G10" t="s">
        <v>207</v>
      </c>
      <c r="I10" t="s">
        <v>74</v>
      </c>
      <c r="J10">
        <v>4.0999999999999996</v>
      </c>
      <c r="K10" s="13">
        <f>QUOTATION!A23*DATA!J10*31</f>
        <v>1921.7519999999997</v>
      </c>
      <c r="L10" s="13">
        <f t="shared" si="0"/>
        <v>15374.015999999998</v>
      </c>
      <c r="N10" s="3" t="s">
        <v>49</v>
      </c>
    </row>
    <row r="11" spans="2:23" x14ac:dyDescent="0.25">
      <c r="I11" t="s">
        <v>75</v>
      </c>
      <c r="J11">
        <v>3.9</v>
      </c>
      <c r="K11" s="13">
        <f>QUOTATION!A23*DATA!J11*30</f>
        <v>1769.04</v>
      </c>
      <c r="L11" s="13">
        <f t="shared" si="0"/>
        <v>14152.32</v>
      </c>
      <c r="N11" t="s">
        <v>143</v>
      </c>
    </row>
    <row r="12" spans="2:23" x14ac:dyDescent="0.25">
      <c r="I12" t="s">
        <v>76</v>
      </c>
      <c r="J12">
        <v>4.5999999999999996</v>
      </c>
      <c r="K12" s="13">
        <f>QUOTATION!A23*DATA!J12*31</f>
        <v>2156.1119999999996</v>
      </c>
      <c r="L12" s="13">
        <f t="shared" si="0"/>
        <v>17248.895999999997</v>
      </c>
      <c r="N12" t="s">
        <v>8</v>
      </c>
    </row>
    <row r="13" spans="2:23" x14ac:dyDescent="0.25">
      <c r="I13" t="s">
        <v>77</v>
      </c>
      <c r="J13">
        <v>4.5999999999999996</v>
      </c>
      <c r="K13" s="13">
        <f>QUOTATION!A23*DATA!J13*30</f>
        <v>2086.56</v>
      </c>
      <c r="L13" s="13">
        <f t="shared" si="0"/>
        <v>16692.48</v>
      </c>
      <c r="N13" t="s">
        <v>97</v>
      </c>
    </row>
    <row r="14" spans="2:23" x14ac:dyDescent="0.25">
      <c r="I14" t="s">
        <v>78</v>
      </c>
      <c r="J14">
        <v>4.5999999999999996</v>
      </c>
      <c r="K14" s="13">
        <f>QUOTATION!A23*DATA!J14*31</f>
        <v>2156.1119999999996</v>
      </c>
      <c r="L14" s="13">
        <f t="shared" si="0"/>
        <v>17248.895999999997</v>
      </c>
      <c r="N14" t="s">
        <v>844</v>
      </c>
    </row>
    <row r="15" spans="2:23" x14ac:dyDescent="0.25">
      <c r="J15" s="14">
        <f>SUM(J3:J14)/12</f>
        <v>4.5916666666666668</v>
      </c>
      <c r="K15" s="15">
        <f>ROUNDUP(SUM(K3:K14),0)</f>
        <v>25339</v>
      </c>
      <c r="L15" s="15">
        <f>ROUNDUP(SUM(L3:L14),0)</f>
        <v>202705</v>
      </c>
    </row>
    <row r="18" spans="1:11" x14ac:dyDescent="0.25">
      <c r="B18" t="s">
        <v>100</v>
      </c>
      <c r="G18" t="s">
        <v>101</v>
      </c>
      <c r="H18" t="s">
        <v>216</v>
      </c>
      <c r="I18" t="s">
        <v>526</v>
      </c>
    </row>
    <row r="19" spans="1:11" x14ac:dyDescent="0.25">
      <c r="A19" t="s">
        <v>100</v>
      </c>
      <c r="B19" t="s">
        <v>554</v>
      </c>
      <c r="C19" t="s">
        <v>834</v>
      </c>
      <c r="E19" t="s">
        <v>838</v>
      </c>
      <c r="F19" t="s">
        <v>101</v>
      </c>
      <c r="G19" s="85" t="s">
        <v>562</v>
      </c>
      <c r="H19" t="s">
        <v>532</v>
      </c>
      <c r="I19" s="85" t="s">
        <v>528</v>
      </c>
      <c r="J19" t="s">
        <v>584</v>
      </c>
      <c r="K19" t="str">
        <f>CONCATENATE(J19,I19)</f>
        <v>ERTH  - G.I EARTHING ELECTRODE (PIPE IN STRIP)</v>
      </c>
    </row>
    <row r="20" spans="1:11" x14ac:dyDescent="0.25">
      <c r="A20" t="s">
        <v>100</v>
      </c>
      <c r="B20" t="s">
        <v>555</v>
      </c>
      <c r="C20" t="s">
        <v>835</v>
      </c>
      <c r="E20" t="s">
        <v>838</v>
      </c>
      <c r="F20" t="s">
        <v>101</v>
      </c>
      <c r="G20" t="s">
        <v>563</v>
      </c>
      <c r="H20" t="s">
        <v>533</v>
      </c>
      <c r="I20" t="s">
        <v>527</v>
      </c>
      <c r="J20" t="s">
        <v>584</v>
      </c>
      <c r="K20" t="str">
        <f t="shared" ref="K20:K23" si="3">CONCATENATE(J20,I20)</f>
        <v>ERTH  - G.I EARTHING ELECTRODE (PIPE IN PIPE)</v>
      </c>
    </row>
    <row r="21" spans="1:11" x14ac:dyDescent="0.25">
      <c r="A21" t="s">
        <v>100</v>
      </c>
      <c r="B21" t="s">
        <v>556</v>
      </c>
      <c r="C21" t="s">
        <v>836</v>
      </c>
      <c r="E21" t="s">
        <v>839</v>
      </c>
      <c r="F21" t="s">
        <v>101</v>
      </c>
      <c r="G21" t="s">
        <v>564</v>
      </c>
      <c r="I21" t="s">
        <v>529</v>
      </c>
      <c r="J21" t="s">
        <v>584</v>
      </c>
      <c r="K21" t="str">
        <f t="shared" si="3"/>
        <v>ERTH  - COPPER BONDED EARTHING ELECTRODE (PIPE IN STRIP)</v>
      </c>
    </row>
    <row r="22" spans="1:11" x14ac:dyDescent="0.25">
      <c r="A22" t="s">
        <v>100</v>
      </c>
      <c r="B22" t="s">
        <v>557</v>
      </c>
      <c r="C22" t="s">
        <v>837</v>
      </c>
      <c r="E22" t="s">
        <v>840</v>
      </c>
      <c r="F22" t="s">
        <v>101</v>
      </c>
      <c r="G22" t="s">
        <v>565</v>
      </c>
      <c r="I22" t="s">
        <v>530</v>
      </c>
      <c r="J22" t="s">
        <v>584</v>
      </c>
      <c r="K22" t="str">
        <f t="shared" si="3"/>
        <v>ERTH  - PURE COPPER EARTHING ELECTRODE (PIPE IN STRIP)</v>
      </c>
    </row>
    <row r="23" spans="1:11" x14ac:dyDescent="0.25">
      <c r="A23" t="s">
        <v>100</v>
      </c>
      <c r="B23" t="s">
        <v>888</v>
      </c>
      <c r="C23" t="s">
        <v>838</v>
      </c>
      <c r="E23" t="str">
        <f t="shared" ref="E23" si="4">CONCATENATE(F23,G23)</f>
        <v/>
      </c>
      <c r="I23" t="s">
        <v>531</v>
      </c>
      <c r="J23" t="s">
        <v>584</v>
      </c>
      <c r="K23" t="str">
        <f t="shared" si="3"/>
        <v>ERTH  - COPPER BONDED SOLID ELECTRODE</v>
      </c>
    </row>
  </sheetData>
  <printOptions horizontalCentered="1"/>
  <pageMargins left="0.7" right="0.7" top="0.75" bottom="0.75" header="0.3" footer="0.3"/>
  <pageSetup paperSize="9"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151"/>
  <sheetViews>
    <sheetView workbookViewId="0">
      <selection activeCell="K19" sqref="K19"/>
    </sheetView>
  </sheetViews>
  <sheetFormatPr defaultColWidth="13.7109375" defaultRowHeight="15" x14ac:dyDescent="0.25"/>
  <sheetData>
    <row r="1" spans="1:9" x14ac:dyDescent="0.25">
      <c r="A1" s="19" t="s">
        <v>4</v>
      </c>
      <c r="B1" s="334" t="s">
        <v>107</v>
      </c>
      <c r="C1" s="335"/>
      <c r="D1" s="19" t="s">
        <v>128</v>
      </c>
      <c r="E1" s="19" t="s">
        <v>240</v>
      </c>
      <c r="F1" s="19" t="s">
        <v>93</v>
      </c>
      <c r="G1" s="19"/>
      <c r="H1" s="19"/>
      <c r="I1" s="19" t="s">
        <v>210</v>
      </c>
    </row>
    <row r="2" spans="1:9" x14ac:dyDescent="0.25">
      <c r="A2" s="9">
        <v>1</v>
      </c>
      <c r="B2" s="336" t="s">
        <v>238</v>
      </c>
      <c r="C2" s="337"/>
      <c r="D2" s="9" t="s">
        <v>129</v>
      </c>
      <c r="E2" s="9">
        <v>16</v>
      </c>
      <c r="F2" s="20">
        <v>0.12</v>
      </c>
      <c r="G2" s="20"/>
      <c r="H2" s="20"/>
      <c r="I2" s="9">
        <f t="shared" ref="I2:I27" si="0">E2+(E2*F2)</f>
        <v>17.920000000000002</v>
      </c>
    </row>
    <row r="3" spans="1:9" x14ac:dyDescent="0.25">
      <c r="A3" s="9">
        <v>2</v>
      </c>
      <c r="B3" s="336" t="s">
        <v>239</v>
      </c>
      <c r="C3" s="337"/>
      <c r="D3" s="9" t="s">
        <v>129</v>
      </c>
      <c r="E3" s="9">
        <v>17</v>
      </c>
      <c r="F3" s="20">
        <v>0.12</v>
      </c>
      <c r="G3" s="20"/>
      <c r="H3" s="20"/>
      <c r="I3" s="9">
        <f t="shared" si="0"/>
        <v>19.04</v>
      </c>
    </row>
    <row r="4" spans="1:9" x14ac:dyDescent="0.25">
      <c r="A4" s="9">
        <v>3</v>
      </c>
      <c r="B4" s="336" t="s">
        <v>99</v>
      </c>
      <c r="C4" s="337"/>
      <c r="D4" s="9" t="s">
        <v>129</v>
      </c>
      <c r="E4" s="9">
        <v>5.0999999999999996</v>
      </c>
      <c r="F4" s="20">
        <v>0.12</v>
      </c>
      <c r="G4" s="20"/>
      <c r="H4" s="20"/>
      <c r="I4" s="9">
        <f t="shared" si="0"/>
        <v>5.7119999999999997</v>
      </c>
    </row>
    <row r="5" spans="1:9" x14ac:dyDescent="0.25">
      <c r="A5" s="9">
        <v>4</v>
      </c>
      <c r="B5" s="336" t="s">
        <v>126</v>
      </c>
      <c r="C5" s="337"/>
      <c r="D5" s="9" t="s">
        <v>146</v>
      </c>
      <c r="E5" s="9">
        <v>4000</v>
      </c>
      <c r="F5" s="20">
        <v>0.18</v>
      </c>
      <c r="G5" s="20"/>
      <c r="H5" s="20"/>
      <c r="I5" s="9">
        <f t="shared" si="0"/>
        <v>4720</v>
      </c>
    </row>
    <row r="6" spans="1:9" x14ac:dyDescent="0.25">
      <c r="A6" s="9">
        <v>5</v>
      </c>
      <c r="B6" s="336" t="s">
        <v>127</v>
      </c>
      <c r="C6" s="337"/>
      <c r="D6" s="9" t="s">
        <v>146</v>
      </c>
      <c r="E6" s="9">
        <v>70</v>
      </c>
      <c r="F6" s="20">
        <v>0.18</v>
      </c>
      <c r="G6" s="20"/>
      <c r="H6" s="20"/>
      <c r="I6" s="9">
        <f t="shared" si="0"/>
        <v>82.6</v>
      </c>
    </row>
    <row r="7" spans="1:9" x14ac:dyDescent="0.25">
      <c r="A7" s="9">
        <v>6</v>
      </c>
      <c r="B7" s="336" t="s">
        <v>111</v>
      </c>
      <c r="C7" s="337"/>
      <c r="D7" s="9" t="s">
        <v>131</v>
      </c>
      <c r="E7" s="9">
        <v>38</v>
      </c>
      <c r="F7" s="20">
        <v>0.18</v>
      </c>
      <c r="G7" s="20"/>
      <c r="H7" s="20"/>
      <c r="I7" s="9">
        <f t="shared" si="0"/>
        <v>44.84</v>
      </c>
    </row>
    <row r="8" spans="1:9" x14ac:dyDescent="0.25">
      <c r="A8" s="9">
        <v>7</v>
      </c>
      <c r="B8" s="336" t="s">
        <v>112</v>
      </c>
      <c r="C8" s="337"/>
      <c r="D8" s="9" t="s">
        <v>131</v>
      </c>
      <c r="E8" s="9">
        <v>10</v>
      </c>
      <c r="F8" s="20">
        <v>0.18</v>
      </c>
      <c r="G8" s="20"/>
      <c r="H8" s="20"/>
      <c r="I8" s="9">
        <f t="shared" si="0"/>
        <v>11.8</v>
      </c>
    </row>
    <row r="9" spans="1:9" x14ac:dyDescent="0.25">
      <c r="A9" s="9">
        <v>8</v>
      </c>
      <c r="B9" s="336" t="s">
        <v>113</v>
      </c>
      <c r="C9" s="337"/>
      <c r="D9" s="9" t="s">
        <v>131</v>
      </c>
      <c r="E9" s="9">
        <v>12</v>
      </c>
      <c r="F9" s="20">
        <v>0.18</v>
      </c>
      <c r="G9" s="20"/>
      <c r="H9" s="20"/>
      <c r="I9" s="9">
        <f t="shared" si="0"/>
        <v>14.16</v>
      </c>
    </row>
    <row r="10" spans="1:9" x14ac:dyDescent="0.25">
      <c r="A10" s="9">
        <v>9</v>
      </c>
      <c r="B10" s="336" t="s">
        <v>100</v>
      </c>
      <c r="C10" s="337"/>
      <c r="D10" s="9" t="s">
        <v>129</v>
      </c>
      <c r="E10" s="9">
        <v>0.7</v>
      </c>
      <c r="F10" s="20">
        <v>0.18</v>
      </c>
      <c r="G10" s="20"/>
      <c r="H10" s="20"/>
      <c r="I10" s="9">
        <f t="shared" si="0"/>
        <v>0.82599999999999996</v>
      </c>
    </row>
    <row r="11" spans="1:9" x14ac:dyDescent="0.25">
      <c r="A11" s="9">
        <v>10</v>
      </c>
      <c r="B11" s="336" t="s">
        <v>101</v>
      </c>
      <c r="C11" s="337"/>
      <c r="D11" s="9" t="s">
        <v>129</v>
      </c>
      <c r="E11" s="9">
        <v>0.5</v>
      </c>
      <c r="F11" s="20">
        <v>0.18</v>
      </c>
      <c r="G11" s="20"/>
      <c r="H11" s="20"/>
      <c r="I11" s="9">
        <f t="shared" si="0"/>
        <v>0.59</v>
      </c>
    </row>
    <row r="12" spans="1:9" x14ac:dyDescent="0.25">
      <c r="A12" s="9">
        <v>11</v>
      </c>
      <c r="B12" s="336" t="s">
        <v>118</v>
      </c>
      <c r="C12" s="337"/>
      <c r="D12" s="9" t="s">
        <v>131</v>
      </c>
      <c r="E12" s="9">
        <v>2000</v>
      </c>
      <c r="F12" s="20">
        <v>0.18</v>
      </c>
      <c r="G12" s="20"/>
      <c r="H12" s="20"/>
      <c r="I12" s="9">
        <f t="shared" si="0"/>
        <v>2360</v>
      </c>
    </row>
    <row r="13" spans="1:9" x14ac:dyDescent="0.25">
      <c r="A13" s="9">
        <v>12</v>
      </c>
      <c r="B13" s="336" t="s">
        <v>102</v>
      </c>
      <c r="C13" s="337"/>
      <c r="D13" s="9" t="s">
        <v>131</v>
      </c>
      <c r="E13" s="9">
        <v>1500</v>
      </c>
      <c r="F13" s="20">
        <v>0.18</v>
      </c>
      <c r="G13" s="20"/>
      <c r="H13" s="20"/>
      <c r="I13" s="9">
        <f t="shared" si="0"/>
        <v>1770</v>
      </c>
    </row>
    <row r="14" spans="1:9" x14ac:dyDescent="0.25">
      <c r="A14" s="9">
        <v>13</v>
      </c>
      <c r="B14" s="336" t="s">
        <v>246</v>
      </c>
      <c r="C14" s="337"/>
      <c r="D14" s="9" t="s">
        <v>247</v>
      </c>
      <c r="E14" s="9">
        <v>1200</v>
      </c>
      <c r="F14" s="20">
        <v>0.18</v>
      </c>
      <c r="G14" s="20"/>
      <c r="H14" s="20"/>
      <c r="I14" s="9">
        <f t="shared" si="0"/>
        <v>1416</v>
      </c>
    </row>
    <row r="15" spans="1:9" x14ac:dyDescent="0.25">
      <c r="A15" s="9">
        <v>14</v>
      </c>
      <c r="B15" s="336" t="s">
        <v>114</v>
      </c>
      <c r="C15" s="337"/>
      <c r="D15" s="9" t="s">
        <v>132</v>
      </c>
      <c r="E15" s="9"/>
      <c r="F15" s="20">
        <v>0.18</v>
      </c>
      <c r="G15" s="20"/>
      <c r="H15" s="20"/>
      <c r="I15" s="9">
        <f t="shared" si="0"/>
        <v>0</v>
      </c>
    </row>
    <row r="16" spans="1:9" x14ac:dyDescent="0.25">
      <c r="A16" s="9">
        <v>15</v>
      </c>
      <c r="B16" s="336" t="s">
        <v>115</v>
      </c>
      <c r="C16" s="337"/>
      <c r="D16" s="9" t="s">
        <v>132</v>
      </c>
      <c r="E16" s="9">
        <v>40.25</v>
      </c>
      <c r="F16" s="20">
        <v>0.18</v>
      </c>
      <c r="G16" s="20"/>
      <c r="H16" s="20"/>
      <c r="I16" s="9">
        <f t="shared" si="0"/>
        <v>47.494999999999997</v>
      </c>
    </row>
    <row r="17" spans="1:39" x14ac:dyDescent="0.25">
      <c r="A17" s="9">
        <v>16</v>
      </c>
      <c r="B17" s="336" t="s">
        <v>116</v>
      </c>
      <c r="C17" s="337"/>
      <c r="D17" s="9" t="s">
        <v>132</v>
      </c>
      <c r="E17" s="9">
        <v>32</v>
      </c>
      <c r="F17" s="20">
        <v>0.18</v>
      </c>
      <c r="G17" s="20"/>
      <c r="H17" s="20"/>
      <c r="I17" s="9">
        <f t="shared" si="0"/>
        <v>37.76</v>
      </c>
    </row>
    <row r="18" spans="1:39" x14ac:dyDescent="0.25">
      <c r="A18" s="9">
        <v>17</v>
      </c>
      <c r="B18" s="336" t="s">
        <v>117</v>
      </c>
      <c r="C18" s="337"/>
      <c r="D18" s="9" t="s">
        <v>131</v>
      </c>
      <c r="E18" s="9">
        <v>22</v>
      </c>
      <c r="F18" s="20">
        <v>0.18</v>
      </c>
      <c r="G18" s="20"/>
      <c r="H18" s="20"/>
      <c r="I18" s="9">
        <f t="shared" si="0"/>
        <v>25.96</v>
      </c>
    </row>
    <row r="19" spans="1:39" x14ac:dyDescent="0.25">
      <c r="A19" s="9">
        <v>18</v>
      </c>
      <c r="B19" s="336" t="s">
        <v>119</v>
      </c>
      <c r="C19" s="337"/>
      <c r="D19" s="9" t="s">
        <v>131</v>
      </c>
      <c r="E19" s="9">
        <v>65</v>
      </c>
      <c r="F19" s="20">
        <v>0.18</v>
      </c>
      <c r="G19" s="20"/>
      <c r="H19" s="20"/>
      <c r="I19" s="9">
        <f t="shared" si="0"/>
        <v>76.7</v>
      </c>
    </row>
    <row r="20" spans="1:39" x14ac:dyDescent="0.25">
      <c r="A20" s="9">
        <v>19</v>
      </c>
      <c r="B20" s="336" t="s">
        <v>120</v>
      </c>
      <c r="C20" s="337"/>
      <c r="D20" s="9" t="s">
        <v>131</v>
      </c>
      <c r="E20" s="9">
        <v>65</v>
      </c>
      <c r="F20" s="20">
        <v>0.18</v>
      </c>
      <c r="G20" s="20"/>
      <c r="H20" s="20"/>
      <c r="I20" s="9">
        <f t="shared" si="0"/>
        <v>76.7</v>
      </c>
    </row>
    <row r="21" spans="1:39" x14ac:dyDescent="0.25">
      <c r="A21" s="9">
        <v>20</v>
      </c>
      <c r="B21" s="336" t="s">
        <v>121</v>
      </c>
      <c r="C21" s="337"/>
      <c r="D21" s="9" t="s">
        <v>131</v>
      </c>
      <c r="E21" s="9"/>
      <c r="F21" s="20">
        <v>0.18</v>
      </c>
      <c r="G21" s="20"/>
      <c r="H21" s="20"/>
      <c r="I21" s="9">
        <f t="shared" si="0"/>
        <v>0</v>
      </c>
    </row>
    <row r="22" spans="1:39" x14ac:dyDescent="0.25">
      <c r="A22" s="9">
        <v>21</v>
      </c>
      <c r="B22" s="336" t="s">
        <v>144</v>
      </c>
      <c r="C22" s="337"/>
      <c r="D22" s="9" t="s">
        <v>241</v>
      </c>
      <c r="E22" s="9">
        <v>425</v>
      </c>
      <c r="F22" s="20">
        <v>0.18</v>
      </c>
      <c r="G22" s="20"/>
      <c r="H22" s="20"/>
      <c r="I22" s="9">
        <f t="shared" si="0"/>
        <v>501.5</v>
      </c>
    </row>
    <row r="23" spans="1:39" x14ac:dyDescent="0.25">
      <c r="A23" s="9">
        <v>22</v>
      </c>
      <c r="B23" s="336" t="s">
        <v>134</v>
      </c>
      <c r="C23" s="337"/>
      <c r="D23" s="9" t="s">
        <v>131</v>
      </c>
      <c r="E23" s="9">
        <v>350</v>
      </c>
      <c r="F23" s="20">
        <v>0.18</v>
      </c>
      <c r="G23" s="20"/>
      <c r="H23" s="20"/>
      <c r="I23" s="9">
        <f t="shared" si="0"/>
        <v>413</v>
      </c>
    </row>
    <row r="24" spans="1:39" x14ac:dyDescent="0.25">
      <c r="A24" s="9">
        <v>23</v>
      </c>
      <c r="B24" s="336" t="s">
        <v>147</v>
      </c>
      <c r="C24" s="337"/>
      <c r="D24" s="9" t="s">
        <v>148</v>
      </c>
      <c r="E24" s="9">
        <v>350</v>
      </c>
      <c r="F24" s="20">
        <v>0.18</v>
      </c>
      <c r="G24" s="20"/>
      <c r="H24" s="20"/>
      <c r="I24" s="9">
        <f t="shared" si="0"/>
        <v>413</v>
      </c>
    </row>
    <row r="25" spans="1:39" x14ac:dyDescent="0.25">
      <c r="A25" s="9">
        <v>24</v>
      </c>
      <c r="B25" s="336" t="s">
        <v>124</v>
      </c>
      <c r="C25" s="337"/>
      <c r="D25" s="9" t="s">
        <v>148</v>
      </c>
      <c r="E25" s="9">
        <v>150</v>
      </c>
      <c r="F25" s="20">
        <v>0.18</v>
      </c>
      <c r="G25" s="20"/>
      <c r="H25" s="20"/>
      <c r="I25" s="9">
        <f t="shared" si="0"/>
        <v>177</v>
      </c>
    </row>
    <row r="26" spans="1:39" x14ac:dyDescent="0.25">
      <c r="A26" s="9">
        <v>25</v>
      </c>
      <c r="B26" s="336" t="s">
        <v>123</v>
      </c>
      <c r="C26" s="337"/>
      <c r="D26" s="9" t="s">
        <v>148</v>
      </c>
      <c r="E26" s="9">
        <v>1700</v>
      </c>
      <c r="F26" s="20">
        <v>0.18</v>
      </c>
      <c r="G26" s="20"/>
      <c r="H26" s="20"/>
      <c r="I26" s="9">
        <f t="shared" si="0"/>
        <v>2006</v>
      </c>
    </row>
    <row r="27" spans="1:39" x14ac:dyDescent="0.25">
      <c r="A27" s="9">
        <v>26</v>
      </c>
      <c r="B27" s="336" t="s">
        <v>125</v>
      </c>
      <c r="C27" s="337"/>
      <c r="D27" s="9"/>
      <c r="E27" s="9"/>
      <c r="F27" s="20">
        <v>0.12</v>
      </c>
      <c r="G27" s="20"/>
      <c r="H27" s="20"/>
      <c r="I27" s="9">
        <f t="shared" si="0"/>
        <v>0</v>
      </c>
    </row>
    <row r="30" spans="1:39" ht="15.75" thickBot="1" x14ac:dyDescent="0.3"/>
    <row r="31" spans="1:39" s="33" customFormat="1" ht="45" customHeight="1" x14ac:dyDescent="0.25">
      <c r="A31" s="39" t="s">
        <v>208</v>
      </c>
      <c r="B31" s="40" t="s">
        <v>209</v>
      </c>
      <c r="C31" s="44" t="s">
        <v>230</v>
      </c>
      <c r="D31" s="44" t="s">
        <v>231</v>
      </c>
      <c r="E31" s="44" t="s">
        <v>234</v>
      </c>
      <c r="F31" s="44" t="s">
        <v>93</v>
      </c>
      <c r="G31" s="44" t="s">
        <v>244</v>
      </c>
      <c r="H31" s="53" t="s">
        <v>232</v>
      </c>
      <c r="I31" s="53" t="s">
        <v>233</v>
      </c>
      <c r="J31" s="53" t="s">
        <v>235</v>
      </c>
      <c r="K31" s="53" t="s">
        <v>93</v>
      </c>
      <c r="L31" s="54" t="s">
        <v>245</v>
      </c>
      <c r="M31" s="33" t="s">
        <v>236</v>
      </c>
      <c r="N31" s="33" t="s">
        <v>237</v>
      </c>
      <c r="O31" s="33" t="s">
        <v>211</v>
      </c>
      <c r="P31" s="33" t="s">
        <v>212</v>
      </c>
      <c r="Q31" s="33" t="s">
        <v>213</v>
      </c>
      <c r="R31" s="33" t="s">
        <v>214</v>
      </c>
      <c r="S31" s="33" t="s">
        <v>215</v>
      </c>
      <c r="T31" s="33" t="s">
        <v>100</v>
      </c>
      <c r="U31" s="33" t="s">
        <v>101</v>
      </c>
      <c r="V31" s="33" t="s">
        <v>216</v>
      </c>
      <c r="W31" s="33" t="s">
        <v>222</v>
      </c>
      <c r="X31" s="33" t="s">
        <v>217</v>
      </c>
      <c r="Y31" s="33" t="s">
        <v>218</v>
      </c>
      <c r="Z31" s="33" t="s">
        <v>219</v>
      </c>
      <c r="AA31" s="33" t="s">
        <v>220</v>
      </c>
      <c r="AB31" s="33" t="s">
        <v>221</v>
      </c>
      <c r="AC31" s="33" t="s">
        <v>223</v>
      </c>
      <c r="AD31" s="33" t="s">
        <v>224</v>
      </c>
      <c r="AE31" s="33" t="s">
        <v>225</v>
      </c>
      <c r="AF31" s="33" t="s">
        <v>226</v>
      </c>
      <c r="AG31" s="33" t="s">
        <v>228</v>
      </c>
      <c r="AH31" s="33" t="s">
        <v>227</v>
      </c>
      <c r="AI31" s="33" t="s">
        <v>242</v>
      </c>
      <c r="AJ31" s="33" t="s">
        <v>243</v>
      </c>
      <c r="AK31" s="33" t="s">
        <v>229</v>
      </c>
      <c r="AL31" s="33" t="s">
        <v>242</v>
      </c>
      <c r="AM31" s="33" t="s">
        <v>243</v>
      </c>
    </row>
    <row r="32" spans="1:39" s="34" customFormat="1" ht="20.100000000000001" customHeight="1" x14ac:dyDescent="0.25">
      <c r="A32" s="41">
        <v>1</v>
      </c>
      <c r="B32" s="38">
        <v>12</v>
      </c>
      <c r="C32" s="47">
        <v>545</v>
      </c>
      <c r="D32" s="48">
        <f t="shared" ref="D32:D63" si="1">B32*C32/1000</f>
        <v>6.54</v>
      </c>
      <c r="E32" s="45">
        <f>AL32/D32</f>
        <v>36578.617737003056</v>
      </c>
      <c r="F32" s="49">
        <v>0.13900000000000001</v>
      </c>
      <c r="G32" s="45">
        <f>(E32+(E32*F32))*D32</f>
        <v>272476.31823999999</v>
      </c>
      <c r="H32" s="55">
        <v>580</v>
      </c>
      <c r="I32" s="56">
        <f t="shared" ref="I32:I63" si="2">B32*H32/1000</f>
        <v>6.96</v>
      </c>
      <c r="J32" s="57">
        <f>AM32/I32</f>
        <v>36572.666666666672</v>
      </c>
      <c r="K32" s="58">
        <v>0.13900000000000001</v>
      </c>
      <c r="L32" s="59">
        <f>(J32+(J32*K32))*I32</f>
        <v>289927.62064000004</v>
      </c>
      <c r="M32" s="37">
        <f>$E$2*(D32*1000)</f>
        <v>104640</v>
      </c>
      <c r="N32" s="37">
        <f>$E$3*(I32*1000)</f>
        <v>118320</v>
      </c>
      <c r="O32" s="37">
        <f>$E$4*I32*1000</f>
        <v>35495.999999999993</v>
      </c>
      <c r="P32" s="37">
        <f>$E$5*I32</f>
        <v>27840</v>
      </c>
      <c r="Q32" s="37">
        <f t="shared" ref="Q32:Q63" si="3">$E$7*B32</f>
        <v>456</v>
      </c>
      <c r="R32" s="37">
        <f t="shared" ref="R32:R63" si="4">$E$8*B32</f>
        <v>120</v>
      </c>
      <c r="S32" s="37">
        <f t="shared" ref="S32:S63" si="5">$E$9*(B32*4)</f>
        <v>576</v>
      </c>
      <c r="T32" s="37">
        <f>$E$10*(I32*1000)</f>
        <v>4872</v>
      </c>
      <c r="U32" s="37">
        <f>$E$11*(I32*1000)</f>
        <v>3480</v>
      </c>
      <c r="V32" s="37">
        <f>$E$12</f>
        <v>2000</v>
      </c>
      <c r="W32" s="37">
        <f>$E$13</f>
        <v>1500</v>
      </c>
      <c r="X32" s="338">
        <f>$E$14*I32</f>
        <v>8352</v>
      </c>
      <c r="Y32" s="338"/>
      <c r="Z32" s="338"/>
      <c r="AA32" s="338"/>
      <c r="AB32" s="37">
        <f t="shared" ref="AB32:AB63" si="6">$E$20*(B32/2)</f>
        <v>390</v>
      </c>
      <c r="AC32" s="37">
        <f>I32*100</f>
        <v>696</v>
      </c>
      <c r="AD32" s="37">
        <f t="shared" ref="AD32:AD63" si="7">$E$22*(B32*1.13)</f>
        <v>5762.9999999999991</v>
      </c>
      <c r="AE32" s="37">
        <f t="shared" ref="AE32:AE63" si="8">$E$23*(B32/2)</f>
        <v>2100</v>
      </c>
      <c r="AF32" s="37">
        <f>$E$24*I32</f>
        <v>2436</v>
      </c>
      <c r="AG32" s="37">
        <f>$E$25*I32</f>
        <v>1044</v>
      </c>
      <c r="AH32" s="37">
        <f>$E$26*I32</f>
        <v>11832</v>
      </c>
      <c r="AI32" s="37">
        <f>SUM(O32:AH32)+M32</f>
        <v>213593</v>
      </c>
      <c r="AJ32" s="37">
        <f>SUM(N32:AH32)</f>
        <v>227273</v>
      </c>
      <c r="AK32" s="36">
        <f>$F$27</f>
        <v>0.12</v>
      </c>
      <c r="AL32" s="37">
        <f>AI32+(AI32*AK32)</f>
        <v>239224.16</v>
      </c>
      <c r="AM32" s="37">
        <f>AJ32+(AJ32*AK32)</f>
        <v>254545.76</v>
      </c>
    </row>
    <row r="33" spans="1:39" s="34" customFormat="1" ht="20.100000000000001" customHeight="1" x14ac:dyDescent="0.25">
      <c r="A33" s="41">
        <v>2</v>
      </c>
      <c r="B33" s="38">
        <v>13</v>
      </c>
      <c r="C33" s="47">
        <v>545</v>
      </c>
      <c r="D33" s="48">
        <f t="shared" si="1"/>
        <v>7.085</v>
      </c>
      <c r="E33" s="45">
        <f t="shared" ref="E33:E96" si="9">AL33/D33</f>
        <v>36532.510938602682</v>
      </c>
      <c r="F33" s="49">
        <v>0.13900000000000001</v>
      </c>
      <c r="G33" s="45">
        <f t="shared" ref="G33:G96" si="10">(E33+(E33*F33))*D33</f>
        <v>294810.60475999996</v>
      </c>
      <c r="H33" s="55">
        <v>580</v>
      </c>
      <c r="I33" s="56">
        <f t="shared" si="2"/>
        <v>7.54</v>
      </c>
      <c r="J33" s="57">
        <f t="shared" ref="J33:J96" si="11">AM33/I33</f>
        <v>36529.342175066311</v>
      </c>
      <c r="K33" s="58">
        <v>0.13900000000000001</v>
      </c>
      <c r="L33" s="59">
        <f t="shared" ref="L33:L96" si="12">(J33+(J33*K33))*I33</f>
        <v>313716.18235999998</v>
      </c>
      <c r="M33" s="37">
        <f t="shared" ref="M33:M96" si="13">$E$2*(D33*1000)</f>
        <v>113360</v>
      </c>
      <c r="N33" s="37">
        <f t="shared" ref="N33:N96" si="14">$E$3*(I33*1000)</f>
        <v>128180</v>
      </c>
      <c r="O33" s="37">
        <f t="shared" ref="O33:O96" si="15">$E$4*I33*1000</f>
        <v>38454</v>
      </c>
      <c r="P33" s="37">
        <f t="shared" ref="P33:P96" si="16">$E$5*I33</f>
        <v>30160</v>
      </c>
      <c r="Q33" s="37">
        <f t="shared" si="3"/>
        <v>494</v>
      </c>
      <c r="R33" s="37">
        <f t="shared" si="4"/>
        <v>130</v>
      </c>
      <c r="S33" s="37">
        <f t="shared" si="5"/>
        <v>624</v>
      </c>
      <c r="T33" s="37">
        <f t="shared" ref="T33:T96" si="17">$E$10*(I33*1000)</f>
        <v>5278</v>
      </c>
      <c r="U33" s="37">
        <f t="shared" ref="U33:U96" si="18">$E$11*(I33*1000)</f>
        <v>3770</v>
      </c>
      <c r="V33" s="37">
        <f t="shared" ref="V33:V96" si="19">$E$12</f>
        <v>2000</v>
      </c>
      <c r="W33" s="37">
        <f t="shared" ref="W33:W96" si="20">$E$13</f>
        <v>1500</v>
      </c>
      <c r="X33" s="338">
        <f t="shared" ref="X33:X52" si="21">$E$14*I33</f>
        <v>9048</v>
      </c>
      <c r="Y33" s="338"/>
      <c r="Z33" s="338"/>
      <c r="AA33" s="338"/>
      <c r="AB33" s="37">
        <f t="shared" si="6"/>
        <v>422.5</v>
      </c>
      <c r="AC33" s="37">
        <f t="shared" ref="AC33:AC96" si="22">I33*100</f>
        <v>754</v>
      </c>
      <c r="AD33" s="37">
        <f t="shared" si="7"/>
        <v>6243.2499999999991</v>
      </c>
      <c r="AE33" s="37">
        <f t="shared" si="8"/>
        <v>2275</v>
      </c>
      <c r="AF33" s="37">
        <f>$E$24*I33</f>
        <v>2639</v>
      </c>
      <c r="AG33" s="37">
        <f t="shared" ref="AG33:AG96" si="23">$E$25*I33</f>
        <v>1131</v>
      </c>
      <c r="AH33" s="37">
        <f t="shared" ref="AH33:AH96" si="24">$E$26*I33</f>
        <v>12818</v>
      </c>
      <c r="AI33" s="37">
        <f t="shared" ref="AI33:AI96" si="25">SUM(O33:AH33)+M33</f>
        <v>231100.75</v>
      </c>
      <c r="AJ33" s="37">
        <f t="shared" ref="AJ33:AJ96" si="26">SUM(N33:AH33)</f>
        <v>245920.75</v>
      </c>
      <c r="AK33" s="36">
        <f t="shared" ref="AK33:AK96" si="27">$F$27</f>
        <v>0.12</v>
      </c>
      <c r="AL33" s="37">
        <f t="shared" ref="AL33:AL96" si="28">AI33+(AI33*AK33)</f>
        <v>258832.84</v>
      </c>
      <c r="AM33" s="37">
        <f t="shared" ref="AM33:AM96" si="29">AJ33+(AJ33*AK33)</f>
        <v>275431.24</v>
      </c>
    </row>
    <row r="34" spans="1:39" s="34" customFormat="1" ht="20.100000000000001" customHeight="1" x14ac:dyDescent="0.25">
      <c r="A34" s="41">
        <v>3</v>
      </c>
      <c r="B34" s="38">
        <v>14</v>
      </c>
      <c r="C34" s="47">
        <v>545</v>
      </c>
      <c r="D34" s="48">
        <f t="shared" si="1"/>
        <v>7.63</v>
      </c>
      <c r="E34" s="45">
        <f t="shared" si="9"/>
        <v>36492.990825688074</v>
      </c>
      <c r="F34" s="49">
        <v>0.13900000000000001</v>
      </c>
      <c r="G34" s="45">
        <f t="shared" si="10"/>
        <v>317144.89127999998</v>
      </c>
      <c r="H34" s="55">
        <v>580</v>
      </c>
      <c r="I34" s="56">
        <f t="shared" si="2"/>
        <v>8.1199999999999992</v>
      </c>
      <c r="J34" s="57">
        <f t="shared" si="11"/>
        <v>36492.206896551717</v>
      </c>
      <c r="K34" s="58">
        <v>0.13900000000000001</v>
      </c>
      <c r="L34" s="59">
        <f t="shared" si="12"/>
        <v>337504.74407999992</v>
      </c>
      <c r="M34" s="37">
        <f t="shared" si="13"/>
        <v>122080</v>
      </c>
      <c r="N34" s="37">
        <f t="shared" si="14"/>
        <v>138039.99999999997</v>
      </c>
      <c r="O34" s="37">
        <f t="shared" si="15"/>
        <v>41411.999999999993</v>
      </c>
      <c r="P34" s="37">
        <f t="shared" si="16"/>
        <v>32479.999999999996</v>
      </c>
      <c r="Q34" s="37">
        <f t="shared" si="3"/>
        <v>532</v>
      </c>
      <c r="R34" s="37">
        <f t="shared" si="4"/>
        <v>140</v>
      </c>
      <c r="S34" s="37">
        <f t="shared" si="5"/>
        <v>672</v>
      </c>
      <c r="T34" s="37">
        <f t="shared" si="17"/>
        <v>5683.9999999999991</v>
      </c>
      <c r="U34" s="37">
        <f t="shared" si="18"/>
        <v>4059.9999999999995</v>
      </c>
      <c r="V34" s="37">
        <f t="shared" si="19"/>
        <v>2000</v>
      </c>
      <c r="W34" s="37">
        <f t="shared" si="20"/>
        <v>1500</v>
      </c>
      <c r="X34" s="338">
        <f t="shared" si="21"/>
        <v>9743.9999999999982</v>
      </c>
      <c r="Y34" s="338"/>
      <c r="Z34" s="338"/>
      <c r="AA34" s="338"/>
      <c r="AB34" s="37">
        <f t="shared" si="6"/>
        <v>455</v>
      </c>
      <c r="AC34" s="37">
        <f t="shared" si="22"/>
        <v>811.99999999999989</v>
      </c>
      <c r="AD34" s="37">
        <f t="shared" si="7"/>
        <v>6723.4999999999991</v>
      </c>
      <c r="AE34" s="37">
        <f t="shared" si="8"/>
        <v>2450</v>
      </c>
      <c r="AF34" s="37">
        <f t="shared" ref="AF34:AF97" si="30">$E$24*I34</f>
        <v>2841.9999999999995</v>
      </c>
      <c r="AG34" s="37">
        <f t="shared" si="23"/>
        <v>1217.9999999999998</v>
      </c>
      <c r="AH34" s="37">
        <f t="shared" si="24"/>
        <v>13803.999999999998</v>
      </c>
      <c r="AI34" s="37">
        <f t="shared" si="25"/>
        <v>248608.5</v>
      </c>
      <c r="AJ34" s="37">
        <f t="shared" si="26"/>
        <v>264568.49999999994</v>
      </c>
      <c r="AK34" s="36">
        <f t="shared" si="27"/>
        <v>0.12</v>
      </c>
      <c r="AL34" s="37">
        <f t="shared" si="28"/>
        <v>278441.52</v>
      </c>
      <c r="AM34" s="37">
        <f t="shared" si="29"/>
        <v>296316.71999999991</v>
      </c>
    </row>
    <row r="35" spans="1:39" s="34" customFormat="1" ht="20.100000000000001" customHeight="1" x14ac:dyDescent="0.25">
      <c r="A35" s="41">
        <v>4</v>
      </c>
      <c r="B35" s="38">
        <v>15</v>
      </c>
      <c r="C35" s="47">
        <v>545</v>
      </c>
      <c r="D35" s="48">
        <f t="shared" si="1"/>
        <v>8.1750000000000007</v>
      </c>
      <c r="E35" s="45">
        <f t="shared" si="9"/>
        <v>36458.740061162076</v>
      </c>
      <c r="F35" s="49">
        <v>0.13900000000000001</v>
      </c>
      <c r="G35" s="45">
        <f t="shared" si="10"/>
        <v>339479.1778</v>
      </c>
      <c r="H35" s="55">
        <v>580</v>
      </c>
      <c r="I35" s="56">
        <f t="shared" si="2"/>
        <v>8.6999999999999993</v>
      </c>
      <c r="J35" s="57">
        <f t="shared" si="11"/>
        <v>36460.022988505749</v>
      </c>
      <c r="K35" s="58">
        <v>0.13900000000000001</v>
      </c>
      <c r="L35" s="59">
        <f t="shared" si="12"/>
        <v>361293.30580000003</v>
      </c>
      <c r="M35" s="37">
        <f t="shared" si="13"/>
        <v>130800.00000000001</v>
      </c>
      <c r="N35" s="37">
        <f t="shared" si="14"/>
        <v>147900</v>
      </c>
      <c r="O35" s="37">
        <f t="shared" si="15"/>
        <v>44369.999999999993</v>
      </c>
      <c r="P35" s="37">
        <f t="shared" si="16"/>
        <v>34800</v>
      </c>
      <c r="Q35" s="37">
        <f t="shared" si="3"/>
        <v>570</v>
      </c>
      <c r="R35" s="37">
        <f t="shared" si="4"/>
        <v>150</v>
      </c>
      <c r="S35" s="37">
        <f t="shared" si="5"/>
        <v>720</v>
      </c>
      <c r="T35" s="37">
        <f t="shared" si="17"/>
        <v>6090</v>
      </c>
      <c r="U35" s="37">
        <f t="shared" si="18"/>
        <v>4350</v>
      </c>
      <c r="V35" s="37">
        <f t="shared" si="19"/>
        <v>2000</v>
      </c>
      <c r="W35" s="37">
        <f t="shared" si="20"/>
        <v>1500</v>
      </c>
      <c r="X35" s="338">
        <f t="shared" si="21"/>
        <v>10440</v>
      </c>
      <c r="Y35" s="338"/>
      <c r="Z35" s="338"/>
      <c r="AA35" s="338"/>
      <c r="AB35" s="37">
        <f t="shared" si="6"/>
        <v>487.5</v>
      </c>
      <c r="AC35" s="37">
        <f t="shared" si="22"/>
        <v>869.99999999999989</v>
      </c>
      <c r="AD35" s="37">
        <f t="shared" si="7"/>
        <v>7203.75</v>
      </c>
      <c r="AE35" s="37">
        <f t="shared" si="8"/>
        <v>2625</v>
      </c>
      <c r="AF35" s="37">
        <f t="shared" si="30"/>
        <v>3044.9999999999995</v>
      </c>
      <c r="AG35" s="37">
        <f t="shared" si="23"/>
        <v>1305</v>
      </c>
      <c r="AH35" s="37">
        <f t="shared" si="24"/>
        <v>14789.999999999998</v>
      </c>
      <c r="AI35" s="37">
        <f t="shared" si="25"/>
        <v>266116.25</v>
      </c>
      <c r="AJ35" s="37">
        <f t="shared" si="26"/>
        <v>283216.25</v>
      </c>
      <c r="AK35" s="36">
        <f t="shared" si="27"/>
        <v>0.12</v>
      </c>
      <c r="AL35" s="37">
        <f t="shared" si="28"/>
        <v>298050.2</v>
      </c>
      <c r="AM35" s="37">
        <f t="shared" si="29"/>
        <v>317202.2</v>
      </c>
    </row>
    <row r="36" spans="1:39" s="34" customFormat="1" ht="20.100000000000001" customHeight="1" x14ac:dyDescent="0.25">
      <c r="A36" s="41">
        <v>5</v>
      </c>
      <c r="B36" s="38">
        <v>16</v>
      </c>
      <c r="C36" s="47">
        <v>545</v>
      </c>
      <c r="D36" s="48">
        <f t="shared" si="1"/>
        <v>8.7200000000000006</v>
      </c>
      <c r="E36" s="45">
        <f t="shared" si="9"/>
        <v>36428.770642201831</v>
      </c>
      <c r="F36" s="49">
        <v>0.13900000000000001</v>
      </c>
      <c r="G36" s="45">
        <f t="shared" si="10"/>
        <v>361813.46431999997</v>
      </c>
      <c r="H36" s="55">
        <v>580</v>
      </c>
      <c r="I36" s="56">
        <f t="shared" si="2"/>
        <v>9.2799999999999994</v>
      </c>
      <c r="J36" s="57">
        <f t="shared" si="11"/>
        <v>36431.862068965522</v>
      </c>
      <c r="K36" s="58">
        <v>0.13900000000000001</v>
      </c>
      <c r="L36" s="59">
        <f t="shared" si="12"/>
        <v>385081.86752000003</v>
      </c>
      <c r="M36" s="37">
        <f t="shared" si="13"/>
        <v>139520</v>
      </c>
      <c r="N36" s="37">
        <f t="shared" si="14"/>
        <v>157760</v>
      </c>
      <c r="O36" s="37">
        <f t="shared" si="15"/>
        <v>47327.999999999993</v>
      </c>
      <c r="P36" s="37">
        <f t="shared" si="16"/>
        <v>37120</v>
      </c>
      <c r="Q36" s="37">
        <f t="shared" si="3"/>
        <v>608</v>
      </c>
      <c r="R36" s="37">
        <f t="shared" si="4"/>
        <v>160</v>
      </c>
      <c r="S36" s="37">
        <f t="shared" si="5"/>
        <v>768</v>
      </c>
      <c r="T36" s="37">
        <f t="shared" si="17"/>
        <v>6496</v>
      </c>
      <c r="U36" s="37">
        <f t="shared" si="18"/>
        <v>4640</v>
      </c>
      <c r="V36" s="37">
        <f t="shared" si="19"/>
        <v>2000</v>
      </c>
      <c r="W36" s="37">
        <f t="shared" si="20"/>
        <v>1500</v>
      </c>
      <c r="X36" s="338">
        <f t="shared" si="21"/>
        <v>11136</v>
      </c>
      <c r="Y36" s="338"/>
      <c r="Z36" s="338"/>
      <c r="AA36" s="338"/>
      <c r="AB36" s="37">
        <f t="shared" si="6"/>
        <v>520</v>
      </c>
      <c r="AC36" s="37">
        <f t="shared" si="22"/>
        <v>927.99999999999989</v>
      </c>
      <c r="AD36" s="37">
        <f t="shared" si="7"/>
        <v>7683.9999999999991</v>
      </c>
      <c r="AE36" s="37">
        <f t="shared" si="8"/>
        <v>2800</v>
      </c>
      <c r="AF36" s="37">
        <f t="shared" si="30"/>
        <v>3248</v>
      </c>
      <c r="AG36" s="37">
        <f t="shared" si="23"/>
        <v>1392</v>
      </c>
      <c r="AH36" s="37">
        <f t="shared" si="24"/>
        <v>15775.999999999998</v>
      </c>
      <c r="AI36" s="37">
        <f t="shared" si="25"/>
        <v>283624</v>
      </c>
      <c r="AJ36" s="37">
        <f t="shared" si="26"/>
        <v>301864</v>
      </c>
      <c r="AK36" s="36">
        <f t="shared" si="27"/>
        <v>0.12</v>
      </c>
      <c r="AL36" s="37">
        <f t="shared" si="28"/>
        <v>317658.88</v>
      </c>
      <c r="AM36" s="37">
        <f t="shared" si="29"/>
        <v>338087.67999999999</v>
      </c>
    </row>
    <row r="37" spans="1:39" s="34" customFormat="1" ht="20.100000000000001" customHeight="1" x14ac:dyDescent="0.25">
      <c r="A37" s="41">
        <v>6</v>
      </c>
      <c r="B37" s="38">
        <v>17</v>
      </c>
      <c r="C37" s="47">
        <v>545</v>
      </c>
      <c r="D37" s="48">
        <f t="shared" si="1"/>
        <v>9.2650000000000006</v>
      </c>
      <c r="E37" s="45">
        <f t="shared" si="9"/>
        <v>36402.327037236908</v>
      </c>
      <c r="F37" s="49">
        <v>0.13900000000000001</v>
      </c>
      <c r="G37" s="45">
        <f t="shared" si="10"/>
        <v>384147.75083999999</v>
      </c>
      <c r="H37" s="55">
        <v>580</v>
      </c>
      <c r="I37" s="56">
        <f t="shared" si="2"/>
        <v>9.86</v>
      </c>
      <c r="J37" s="57">
        <f t="shared" si="11"/>
        <v>36407.014198782963</v>
      </c>
      <c r="K37" s="58">
        <v>0.13900000000000001</v>
      </c>
      <c r="L37" s="59">
        <f t="shared" si="12"/>
        <v>408870.42924000003</v>
      </c>
      <c r="M37" s="37">
        <f t="shared" si="13"/>
        <v>148240</v>
      </c>
      <c r="N37" s="37">
        <f t="shared" si="14"/>
        <v>167620</v>
      </c>
      <c r="O37" s="37">
        <f t="shared" si="15"/>
        <v>50285.999999999993</v>
      </c>
      <c r="P37" s="37">
        <f t="shared" si="16"/>
        <v>39440</v>
      </c>
      <c r="Q37" s="37">
        <f t="shared" si="3"/>
        <v>646</v>
      </c>
      <c r="R37" s="37">
        <f t="shared" si="4"/>
        <v>170</v>
      </c>
      <c r="S37" s="37">
        <f t="shared" si="5"/>
        <v>816</v>
      </c>
      <c r="T37" s="37">
        <f t="shared" si="17"/>
        <v>6902</v>
      </c>
      <c r="U37" s="37">
        <f t="shared" si="18"/>
        <v>4930</v>
      </c>
      <c r="V37" s="37">
        <f t="shared" si="19"/>
        <v>2000</v>
      </c>
      <c r="W37" s="37">
        <f t="shared" si="20"/>
        <v>1500</v>
      </c>
      <c r="X37" s="338">
        <f t="shared" si="21"/>
        <v>11832</v>
      </c>
      <c r="Y37" s="338"/>
      <c r="Z37" s="338"/>
      <c r="AA37" s="338"/>
      <c r="AB37" s="37">
        <f t="shared" si="6"/>
        <v>552.5</v>
      </c>
      <c r="AC37" s="37">
        <f t="shared" si="22"/>
        <v>986</v>
      </c>
      <c r="AD37" s="37">
        <f t="shared" si="7"/>
        <v>8164.2499999999991</v>
      </c>
      <c r="AE37" s="37">
        <f t="shared" si="8"/>
        <v>2975</v>
      </c>
      <c r="AF37" s="37">
        <f t="shared" si="30"/>
        <v>3451</v>
      </c>
      <c r="AG37" s="37">
        <f t="shared" si="23"/>
        <v>1479</v>
      </c>
      <c r="AH37" s="37">
        <f t="shared" si="24"/>
        <v>16762</v>
      </c>
      <c r="AI37" s="37">
        <f t="shared" si="25"/>
        <v>301131.75</v>
      </c>
      <c r="AJ37" s="37">
        <f t="shared" si="26"/>
        <v>320511.75</v>
      </c>
      <c r="AK37" s="36">
        <f t="shared" si="27"/>
        <v>0.12</v>
      </c>
      <c r="AL37" s="37">
        <f t="shared" si="28"/>
        <v>337267.56</v>
      </c>
      <c r="AM37" s="37">
        <f t="shared" si="29"/>
        <v>358973.16</v>
      </c>
    </row>
    <row r="38" spans="1:39" s="34" customFormat="1" ht="20.100000000000001" customHeight="1" x14ac:dyDescent="0.25">
      <c r="A38" s="41">
        <v>7</v>
      </c>
      <c r="B38" s="38">
        <v>18</v>
      </c>
      <c r="C38" s="47">
        <v>545</v>
      </c>
      <c r="D38" s="48">
        <f t="shared" si="1"/>
        <v>9.81</v>
      </c>
      <c r="E38" s="45">
        <f t="shared" si="9"/>
        <v>36378.821610601422</v>
      </c>
      <c r="F38" s="49">
        <v>0.13900000000000001</v>
      </c>
      <c r="G38" s="45">
        <f t="shared" si="10"/>
        <v>406482.03736000002</v>
      </c>
      <c r="H38" s="55">
        <v>580</v>
      </c>
      <c r="I38" s="56">
        <f t="shared" si="2"/>
        <v>10.44</v>
      </c>
      <c r="J38" s="57">
        <f t="shared" si="11"/>
        <v>36384.927203065134</v>
      </c>
      <c r="K38" s="58">
        <v>0.13900000000000001</v>
      </c>
      <c r="L38" s="59">
        <f t="shared" si="12"/>
        <v>432658.99095999997</v>
      </c>
      <c r="M38" s="37">
        <f t="shared" si="13"/>
        <v>156960</v>
      </c>
      <c r="N38" s="37">
        <f t="shared" si="14"/>
        <v>177480</v>
      </c>
      <c r="O38" s="37">
        <f t="shared" si="15"/>
        <v>53243.999999999993</v>
      </c>
      <c r="P38" s="37">
        <f t="shared" si="16"/>
        <v>41760</v>
      </c>
      <c r="Q38" s="37">
        <f t="shared" si="3"/>
        <v>684</v>
      </c>
      <c r="R38" s="37">
        <f t="shared" si="4"/>
        <v>180</v>
      </c>
      <c r="S38" s="37">
        <f t="shared" si="5"/>
        <v>864</v>
      </c>
      <c r="T38" s="37">
        <f t="shared" si="17"/>
        <v>7307.9999999999991</v>
      </c>
      <c r="U38" s="37">
        <f t="shared" si="18"/>
        <v>5220</v>
      </c>
      <c r="V38" s="37">
        <f t="shared" si="19"/>
        <v>2000</v>
      </c>
      <c r="W38" s="37">
        <f t="shared" si="20"/>
        <v>1500</v>
      </c>
      <c r="X38" s="338">
        <f t="shared" si="21"/>
        <v>12528</v>
      </c>
      <c r="Y38" s="338"/>
      <c r="Z38" s="338"/>
      <c r="AA38" s="338"/>
      <c r="AB38" s="37">
        <f t="shared" si="6"/>
        <v>585</v>
      </c>
      <c r="AC38" s="37">
        <f t="shared" si="22"/>
        <v>1044</v>
      </c>
      <c r="AD38" s="37">
        <f t="shared" si="7"/>
        <v>8644.4999999999982</v>
      </c>
      <c r="AE38" s="37">
        <f t="shared" si="8"/>
        <v>3150</v>
      </c>
      <c r="AF38" s="37">
        <f t="shared" si="30"/>
        <v>3654</v>
      </c>
      <c r="AG38" s="37">
        <f t="shared" si="23"/>
        <v>1566</v>
      </c>
      <c r="AH38" s="37">
        <f t="shared" si="24"/>
        <v>17748</v>
      </c>
      <c r="AI38" s="37">
        <f t="shared" si="25"/>
        <v>318639.5</v>
      </c>
      <c r="AJ38" s="37">
        <f t="shared" si="26"/>
        <v>339159.5</v>
      </c>
      <c r="AK38" s="36">
        <f t="shared" si="27"/>
        <v>0.12</v>
      </c>
      <c r="AL38" s="37">
        <f t="shared" si="28"/>
        <v>356876.24</v>
      </c>
      <c r="AM38" s="37">
        <f t="shared" si="29"/>
        <v>379858.64</v>
      </c>
    </row>
    <row r="39" spans="1:39" s="34" customFormat="1" ht="20.100000000000001" customHeight="1" x14ac:dyDescent="0.25">
      <c r="A39" s="41">
        <v>8</v>
      </c>
      <c r="B39" s="38">
        <v>20</v>
      </c>
      <c r="C39" s="47">
        <v>545</v>
      </c>
      <c r="D39" s="48">
        <f t="shared" si="1"/>
        <v>10.9</v>
      </c>
      <c r="E39" s="45">
        <f t="shared" si="9"/>
        <v>36338.862385321096</v>
      </c>
      <c r="F39" s="49">
        <v>0.13900000000000001</v>
      </c>
      <c r="G39" s="45">
        <f t="shared" si="10"/>
        <v>451150.61040000001</v>
      </c>
      <c r="H39" s="55">
        <v>580</v>
      </c>
      <c r="I39" s="56">
        <f t="shared" si="2"/>
        <v>11.6</v>
      </c>
      <c r="J39" s="57">
        <f t="shared" si="11"/>
        <v>36347.379310344826</v>
      </c>
      <c r="K39" s="58">
        <v>0.13900000000000001</v>
      </c>
      <c r="L39" s="59">
        <f t="shared" si="12"/>
        <v>480236.11439999996</v>
      </c>
      <c r="M39" s="37">
        <f t="shared" si="13"/>
        <v>174400</v>
      </c>
      <c r="N39" s="37">
        <f t="shared" si="14"/>
        <v>197200</v>
      </c>
      <c r="O39" s="37">
        <f t="shared" si="15"/>
        <v>59160</v>
      </c>
      <c r="P39" s="37">
        <f t="shared" si="16"/>
        <v>46400</v>
      </c>
      <c r="Q39" s="37">
        <f t="shared" si="3"/>
        <v>760</v>
      </c>
      <c r="R39" s="37">
        <f t="shared" si="4"/>
        <v>200</v>
      </c>
      <c r="S39" s="37">
        <f t="shared" si="5"/>
        <v>960</v>
      </c>
      <c r="T39" s="37">
        <f t="shared" si="17"/>
        <v>8119.9999999999991</v>
      </c>
      <c r="U39" s="37">
        <f t="shared" si="18"/>
        <v>5800</v>
      </c>
      <c r="V39" s="37">
        <f t="shared" si="19"/>
        <v>2000</v>
      </c>
      <c r="W39" s="37">
        <f t="shared" si="20"/>
        <v>1500</v>
      </c>
      <c r="X39" s="338">
        <f t="shared" si="21"/>
        <v>13920</v>
      </c>
      <c r="Y39" s="338"/>
      <c r="Z39" s="338"/>
      <c r="AA39" s="338"/>
      <c r="AB39" s="37">
        <f t="shared" si="6"/>
        <v>650</v>
      </c>
      <c r="AC39" s="37">
        <f t="shared" si="22"/>
        <v>1160</v>
      </c>
      <c r="AD39" s="37">
        <f t="shared" si="7"/>
        <v>9605</v>
      </c>
      <c r="AE39" s="37">
        <f t="shared" si="8"/>
        <v>3500</v>
      </c>
      <c r="AF39" s="37">
        <f t="shared" si="30"/>
        <v>4060</v>
      </c>
      <c r="AG39" s="37">
        <f t="shared" si="23"/>
        <v>1740</v>
      </c>
      <c r="AH39" s="37">
        <f t="shared" si="24"/>
        <v>19720</v>
      </c>
      <c r="AI39" s="37">
        <f t="shared" si="25"/>
        <v>353655</v>
      </c>
      <c r="AJ39" s="37">
        <f t="shared" si="26"/>
        <v>376455</v>
      </c>
      <c r="AK39" s="36">
        <f t="shared" si="27"/>
        <v>0.12</v>
      </c>
      <c r="AL39" s="37">
        <f t="shared" si="28"/>
        <v>396093.6</v>
      </c>
      <c r="AM39" s="37">
        <f t="shared" si="29"/>
        <v>421629.6</v>
      </c>
    </row>
    <row r="40" spans="1:39" s="34" customFormat="1" ht="20.100000000000001" customHeight="1" x14ac:dyDescent="0.25">
      <c r="A40" s="41">
        <v>9</v>
      </c>
      <c r="B40" s="38">
        <v>22</v>
      </c>
      <c r="C40" s="47">
        <v>545</v>
      </c>
      <c r="D40" s="48">
        <f t="shared" si="1"/>
        <v>11.99</v>
      </c>
      <c r="E40" s="45">
        <f t="shared" si="9"/>
        <v>36306.16847372811</v>
      </c>
      <c r="F40" s="49">
        <v>0.13900000000000001</v>
      </c>
      <c r="G40" s="45">
        <f t="shared" si="10"/>
        <v>495819.18344000005</v>
      </c>
      <c r="H40" s="55">
        <v>580</v>
      </c>
      <c r="I40" s="56">
        <f t="shared" si="2"/>
        <v>12.76</v>
      </c>
      <c r="J40" s="57">
        <f t="shared" si="11"/>
        <v>36316.658307210033</v>
      </c>
      <c r="K40" s="58">
        <v>0.13900000000000001</v>
      </c>
      <c r="L40" s="59">
        <f t="shared" si="12"/>
        <v>527813.23784000007</v>
      </c>
      <c r="M40" s="37">
        <f t="shared" si="13"/>
        <v>191840</v>
      </c>
      <c r="N40" s="37">
        <f t="shared" si="14"/>
        <v>216920</v>
      </c>
      <c r="O40" s="37">
        <f t="shared" si="15"/>
        <v>65075.999999999993</v>
      </c>
      <c r="P40" s="37">
        <f t="shared" si="16"/>
        <v>51040</v>
      </c>
      <c r="Q40" s="37">
        <f t="shared" si="3"/>
        <v>836</v>
      </c>
      <c r="R40" s="37">
        <f t="shared" si="4"/>
        <v>220</v>
      </c>
      <c r="S40" s="37">
        <f t="shared" si="5"/>
        <v>1056</v>
      </c>
      <c r="T40" s="37">
        <f t="shared" si="17"/>
        <v>8932</v>
      </c>
      <c r="U40" s="37">
        <f t="shared" si="18"/>
        <v>6380</v>
      </c>
      <c r="V40" s="37">
        <f t="shared" si="19"/>
        <v>2000</v>
      </c>
      <c r="W40" s="37">
        <f t="shared" si="20"/>
        <v>1500</v>
      </c>
      <c r="X40" s="338">
        <f t="shared" si="21"/>
        <v>15312</v>
      </c>
      <c r="Y40" s="338"/>
      <c r="Z40" s="338"/>
      <c r="AA40" s="338"/>
      <c r="AB40" s="37">
        <f t="shared" si="6"/>
        <v>715</v>
      </c>
      <c r="AC40" s="37">
        <f t="shared" si="22"/>
        <v>1276</v>
      </c>
      <c r="AD40" s="37">
        <f t="shared" si="7"/>
        <v>10565.5</v>
      </c>
      <c r="AE40" s="37">
        <f t="shared" si="8"/>
        <v>3850</v>
      </c>
      <c r="AF40" s="37">
        <f t="shared" si="30"/>
        <v>4466</v>
      </c>
      <c r="AG40" s="37">
        <f t="shared" si="23"/>
        <v>1914</v>
      </c>
      <c r="AH40" s="37">
        <f t="shared" si="24"/>
        <v>21692</v>
      </c>
      <c r="AI40" s="37">
        <f t="shared" si="25"/>
        <v>388670.5</v>
      </c>
      <c r="AJ40" s="37">
        <f t="shared" si="26"/>
        <v>413750.5</v>
      </c>
      <c r="AK40" s="36">
        <f t="shared" si="27"/>
        <v>0.12</v>
      </c>
      <c r="AL40" s="37">
        <f t="shared" si="28"/>
        <v>435310.96</v>
      </c>
      <c r="AM40" s="37">
        <f t="shared" si="29"/>
        <v>463400.56</v>
      </c>
    </row>
    <row r="41" spans="1:39" s="34" customFormat="1" ht="20.100000000000001" customHeight="1" x14ac:dyDescent="0.25">
      <c r="A41" s="41">
        <v>10</v>
      </c>
      <c r="B41" s="38">
        <v>24</v>
      </c>
      <c r="C41" s="47">
        <v>545</v>
      </c>
      <c r="D41" s="48">
        <f t="shared" si="1"/>
        <v>13.08</v>
      </c>
      <c r="E41" s="45">
        <f t="shared" si="9"/>
        <v>36278.923547400613</v>
      </c>
      <c r="F41" s="49">
        <v>0.13900000000000001</v>
      </c>
      <c r="G41" s="45">
        <f t="shared" si="10"/>
        <v>540487.75647999998</v>
      </c>
      <c r="H41" s="55">
        <v>580</v>
      </c>
      <c r="I41" s="56">
        <f t="shared" si="2"/>
        <v>13.92</v>
      </c>
      <c r="J41" s="57">
        <f t="shared" si="11"/>
        <v>36291.057471264372</v>
      </c>
      <c r="K41" s="58">
        <v>0.13900000000000001</v>
      </c>
      <c r="L41" s="59">
        <f t="shared" si="12"/>
        <v>575390.36128000007</v>
      </c>
      <c r="M41" s="37">
        <f t="shared" si="13"/>
        <v>209280</v>
      </c>
      <c r="N41" s="37">
        <f t="shared" si="14"/>
        <v>236640</v>
      </c>
      <c r="O41" s="37">
        <f t="shared" si="15"/>
        <v>70991.999999999985</v>
      </c>
      <c r="P41" s="37">
        <f t="shared" si="16"/>
        <v>55680</v>
      </c>
      <c r="Q41" s="37">
        <f t="shared" si="3"/>
        <v>912</v>
      </c>
      <c r="R41" s="37">
        <f t="shared" si="4"/>
        <v>240</v>
      </c>
      <c r="S41" s="37">
        <f t="shared" si="5"/>
        <v>1152</v>
      </c>
      <c r="T41" s="37">
        <f t="shared" si="17"/>
        <v>9744</v>
      </c>
      <c r="U41" s="37">
        <f t="shared" si="18"/>
        <v>6960</v>
      </c>
      <c r="V41" s="37">
        <f t="shared" si="19"/>
        <v>2000</v>
      </c>
      <c r="W41" s="37">
        <f t="shared" si="20"/>
        <v>1500</v>
      </c>
      <c r="X41" s="338">
        <f t="shared" si="21"/>
        <v>16704</v>
      </c>
      <c r="Y41" s="338"/>
      <c r="Z41" s="338"/>
      <c r="AA41" s="338"/>
      <c r="AB41" s="37">
        <f t="shared" si="6"/>
        <v>780</v>
      </c>
      <c r="AC41" s="37">
        <f t="shared" si="22"/>
        <v>1392</v>
      </c>
      <c r="AD41" s="37">
        <f t="shared" si="7"/>
        <v>11525.999999999998</v>
      </c>
      <c r="AE41" s="37">
        <f t="shared" si="8"/>
        <v>4200</v>
      </c>
      <c r="AF41" s="37">
        <f t="shared" si="30"/>
        <v>4872</v>
      </c>
      <c r="AG41" s="37">
        <f t="shared" si="23"/>
        <v>2088</v>
      </c>
      <c r="AH41" s="37">
        <f t="shared" si="24"/>
        <v>23664</v>
      </c>
      <c r="AI41" s="37">
        <f t="shared" si="25"/>
        <v>423686</v>
      </c>
      <c r="AJ41" s="37">
        <f t="shared" si="26"/>
        <v>451046</v>
      </c>
      <c r="AK41" s="36">
        <f t="shared" si="27"/>
        <v>0.12</v>
      </c>
      <c r="AL41" s="37">
        <f t="shared" si="28"/>
        <v>474528.32</v>
      </c>
      <c r="AM41" s="37">
        <f t="shared" si="29"/>
        <v>505171.52</v>
      </c>
    </row>
    <row r="42" spans="1:39" s="34" customFormat="1" ht="20.100000000000001" customHeight="1" x14ac:dyDescent="0.25">
      <c r="A42" s="41">
        <v>11</v>
      </c>
      <c r="B42" s="38">
        <v>26</v>
      </c>
      <c r="C42" s="47">
        <v>545</v>
      </c>
      <c r="D42" s="48">
        <f t="shared" si="1"/>
        <v>14.17</v>
      </c>
      <c r="E42" s="45">
        <f t="shared" si="9"/>
        <v>36255.870148200425</v>
      </c>
      <c r="F42" s="49">
        <v>0.13900000000000001</v>
      </c>
      <c r="G42" s="45">
        <f t="shared" si="10"/>
        <v>585156.32952000003</v>
      </c>
      <c r="H42" s="55">
        <v>580</v>
      </c>
      <c r="I42" s="56">
        <f t="shared" si="2"/>
        <v>15.08</v>
      </c>
      <c r="J42" s="57">
        <f t="shared" si="11"/>
        <v>36269.395225464192</v>
      </c>
      <c r="K42" s="58">
        <v>0.13900000000000001</v>
      </c>
      <c r="L42" s="59">
        <f t="shared" si="12"/>
        <v>622967.48471999995</v>
      </c>
      <c r="M42" s="37">
        <f t="shared" si="13"/>
        <v>226720</v>
      </c>
      <c r="N42" s="37">
        <f t="shared" si="14"/>
        <v>256360</v>
      </c>
      <c r="O42" s="37">
        <f t="shared" si="15"/>
        <v>76908</v>
      </c>
      <c r="P42" s="37">
        <f t="shared" si="16"/>
        <v>60320</v>
      </c>
      <c r="Q42" s="37">
        <f t="shared" si="3"/>
        <v>988</v>
      </c>
      <c r="R42" s="37">
        <f t="shared" si="4"/>
        <v>260</v>
      </c>
      <c r="S42" s="37">
        <f t="shared" si="5"/>
        <v>1248</v>
      </c>
      <c r="T42" s="37">
        <f t="shared" si="17"/>
        <v>10556</v>
      </c>
      <c r="U42" s="37">
        <f t="shared" si="18"/>
        <v>7540</v>
      </c>
      <c r="V42" s="37">
        <f t="shared" si="19"/>
        <v>2000</v>
      </c>
      <c r="W42" s="37">
        <f t="shared" si="20"/>
        <v>1500</v>
      </c>
      <c r="X42" s="338">
        <f t="shared" si="21"/>
        <v>18096</v>
      </c>
      <c r="Y42" s="338"/>
      <c r="Z42" s="338"/>
      <c r="AA42" s="338"/>
      <c r="AB42" s="37">
        <f t="shared" si="6"/>
        <v>845</v>
      </c>
      <c r="AC42" s="37">
        <f t="shared" si="22"/>
        <v>1508</v>
      </c>
      <c r="AD42" s="37">
        <f t="shared" si="7"/>
        <v>12486.499999999998</v>
      </c>
      <c r="AE42" s="37">
        <f t="shared" si="8"/>
        <v>4550</v>
      </c>
      <c r="AF42" s="37">
        <f t="shared" si="30"/>
        <v>5278</v>
      </c>
      <c r="AG42" s="37">
        <f t="shared" si="23"/>
        <v>2262</v>
      </c>
      <c r="AH42" s="37">
        <f t="shared" si="24"/>
        <v>25636</v>
      </c>
      <c r="AI42" s="37">
        <f t="shared" si="25"/>
        <v>458701.5</v>
      </c>
      <c r="AJ42" s="37">
        <f t="shared" si="26"/>
        <v>488341.5</v>
      </c>
      <c r="AK42" s="36">
        <f t="shared" si="27"/>
        <v>0.12</v>
      </c>
      <c r="AL42" s="37">
        <f t="shared" si="28"/>
        <v>513745.68</v>
      </c>
      <c r="AM42" s="37">
        <f t="shared" si="29"/>
        <v>546942.48</v>
      </c>
    </row>
    <row r="43" spans="1:39" s="34" customFormat="1" ht="20.100000000000001" customHeight="1" x14ac:dyDescent="0.25">
      <c r="A43" s="41">
        <v>12</v>
      </c>
      <c r="B43" s="38">
        <v>28</v>
      </c>
      <c r="C43" s="47">
        <v>545</v>
      </c>
      <c r="D43" s="48">
        <f t="shared" si="1"/>
        <v>15.26</v>
      </c>
      <c r="E43" s="45">
        <f t="shared" si="9"/>
        <v>36236.110091743125</v>
      </c>
      <c r="F43" s="49">
        <v>0.13900000000000001</v>
      </c>
      <c r="G43" s="45">
        <f t="shared" si="10"/>
        <v>629824.90256000008</v>
      </c>
      <c r="H43" s="55">
        <v>580</v>
      </c>
      <c r="I43" s="56">
        <f t="shared" si="2"/>
        <v>16.239999999999998</v>
      </c>
      <c r="J43" s="57">
        <f t="shared" si="11"/>
        <v>36250.827586206891</v>
      </c>
      <c r="K43" s="58">
        <v>0.13900000000000001</v>
      </c>
      <c r="L43" s="59">
        <f t="shared" si="12"/>
        <v>670544.60815999983</v>
      </c>
      <c r="M43" s="37">
        <f t="shared" si="13"/>
        <v>244160</v>
      </c>
      <c r="N43" s="37">
        <f t="shared" si="14"/>
        <v>276079.99999999994</v>
      </c>
      <c r="O43" s="37">
        <f t="shared" si="15"/>
        <v>82823.999999999985</v>
      </c>
      <c r="P43" s="37">
        <f t="shared" si="16"/>
        <v>64959.999999999993</v>
      </c>
      <c r="Q43" s="37">
        <f t="shared" si="3"/>
        <v>1064</v>
      </c>
      <c r="R43" s="37">
        <f t="shared" si="4"/>
        <v>280</v>
      </c>
      <c r="S43" s="37">
        <f t="shared" si="5"/>
        <v>1344</v>
      </c>
      <c r="T43" s="37">
        <f t="shared" si="17"/>
        <v>11367.999999999998</v>
      </c>
      <c r="U43" s="37">
        <f t="shared" si="18"/>
        <v>8119.9999999999991</v>
      </c>
      <c r="V43" s="37">
        <f t="shared" si="19"/>
        <v>2000</v>
      </c>
      <c r="W43" s="37">
        <f t="shared" si="20"/>
        <v>1500</v>
      </c>
      <c r="X43" s="338">
        <f t="shared" si="21"/>
        <v>19487.999999999996</v>
      </c>
      <c r="Y43" s="338"/>
      <c r="Z43" s="338"/>
      <c r="AA43" s="338"/>
      <c r="AB43" s="37">
        <f t="shared" si="6"/>
        <v>910</v>
      </c>
      <c r="AC43" s="37">
        <f t="shared" si="22"/>
        <v>1623.9999999999998</v>
      </c>
      <c r="AD43" s="37">
        <f t="shared" si="7"/>
        <v>13446.999999999998</v>
      </c>
      <c r="AE43" s="37">
        <f t="shared" si="8"/>
        <v>4900</v>
      </c>
      <c r="AF43" s="37">
        <f t="shared" si="30"/>
        <v>5683.9999999999991</v>
      </c>
      <c r="AG43" s="37">
        <f t="shared" si="23"/>
        <v>2435.9999999999995</v>
      </c>
      <c r="AH43" s="37">
        <f t="shared" si="24"/>
        <v>27607.999999999996</v>
      </c>
      <c r="AI43" s="37">
        <f t="shared" si="25"/>
        <v>493717</v>
      </c>
      <c r="AJ43" s="37">
        <f t="shared" si="26"/>
        <v>525636.99999999988</v>
      </c>
      <c r="AK43" s="36">
        <f t="shared" si="27"/>
        <v>0.12</v>
      </c>
      <c r="AL43" s="37">
        <f t="shared" si="28"/>
        <v>552963.04</v>
      </c>
      <c r="AM43" s="37">
        <f t="shared" si="29"/>
        <v>588713.43999999983</v>
      </c>
    </row>
    <row r="44" spans="1:39" s="34" customFormat="1" ht="20.100000000000001" customHeight="1" x14ac:dyDescent="0.25">
      <c r="A44" s="41">
        <v>13</v>
      </c>
      <c r="B44" s="38">
        <v>30</v>
      </c>
      <c r="C44" s="47">
        <v>545</v>
      </c>
      <c r="D44" s="48">
        <f t="shared" si="1"/>
        <v>16.350000000000001</v>
      </c>
      <c r="E44" s="45">
        <f t="shared" si="9"/>
        <v>36218.984709480123</v>
      </c>
      <c r="F44" s="49">
        <v>0.13900000000000001</v>
      </c>
      <c r="G44" s="45">
        <f t="shared" si="10"/>
        <v>674493.47560000001</v>
      </c>
      <c r="H44" s="55">
        <v>580</v>
      </c>
      <c r="I44" s="56">
        <f t="shared" si="2"/>
        <v>17.399999999999999</v>
      </c>
      <c r="J44" s="57">
        <f t="shared" si="11"/>
        <v>36234.735632183911</v>
      </c>
      <c r="K44" s="58">
        <v>0.13900000000000001</v>
      </c>
      <c r="L44" s="59">
        <f t="shared" si="12"/>
        <v>718121.73159999994</v>
      </c>
      <c r="M44" s="37">
        <f t="shared" si="13"/>
        <v>261600.00000000003</v>
      </c>
      <c r="N44" s="37">
        <f t="shared" si="14"/>
        <v>295800</v>
      </c>
      <c r="O44" s="37">
        <f t="shared" si="15"/>
        <v>88739.999999999985</v>
      </c>
      <c r="P44" s="37">
        <f t="shared" si="16"/>
        <v>69600</v>
      </c>
      <c r="Q44" s="37">
        <f t="shared" si="3"/>
        <v>1140</v>
      </c>
      <c r="R44" s="37">
        <f t="shared" si="4"/>
        <v>300</v>
      </c>
      <c r="S44" s="37">
        <f t="shared" si="5"/>
        <v>1440</v>
      </c>
      <c r="T44" s="37">
        <f t="shared" si="17"/>
        <v>12180</v>
      </c>
      <c r="U44" s="37">
        <f t="shared" si="18"/>
        <v>8700</v>
      </c>
      <c r="V44" s="37">
        <f t="shared" si="19"/>
        <v>2000</v>
      </c>
      <c r="W44" s="37">
        <f t="shared" si="20"/>
        <v>1500</v>
      </c>
      <c r="X44" s="338">
        <f t="shared" si="21"/>
        <v>20880</v>
      </c>
      <c r="Y44" s="338"/>
      <c r="Z44" s="338"/>
      <c r="AA44" s="338"/>
      <c r="AB44" s="37">
        <f t="shared" si="6"/>
        <v>975</v>
      </c>
      <c r="AC44" s="37">
        <f t="shared" si="22"/>
        <v>1739.9999999999998</v>
      </c>
      <c r="AD44" s="37">
        <f t="shared" si="7"/>
        <v>14407.5</v>
      </c>
      <c r="AE44" s="37">
        <f t="shared" si="8"/>
        <v>5250</v>
      </c>
      <c r="AF44" s="37">
        <f t="shared" si="30"/>
        <v>6089.9999999999991</v>
      </c>
      <c r="AG44" s="37">
        <f t="shared" si="23"/>
        <v>2610</v>
      </c>
      <c r="AH44" s="37">
        <f t="shared" si="24"/>
        <v>29579.999999999996</v>
      </c>
      <c r="AI44" s="37">
        <f t="shared" si="25"/>
        <v>528732.5</v>
      </c>
      <c r="AJ44" s="37">
        <f t="shared" si="26"/>
        <v>562932.5</v>
      </c>
      <c r="AK44" s="36">
        <f t="shared" si="27"/>
        <v>0.12</v>
      </c>
      <c r="AL44" s="37">
        <f t="shared" si="28"/>
        <v>592180.4</v>
      </c>
      <c r="AM44" s="37">
        <f t="shared" si="29"/>
        <v>630484.4</v>
      </c>
    </row>
    <row r="45" spans="1:39" s="34" customFormat="1" ht="20.100000000000001" customHeight="1" x14ac:dyDescent="0.25">
      <c r="A45" s="41">
        <v>14</v>
      </c>
      <c r="B45" s="38">
        <v>32</v>
      </c>
      <c r="C45" s="47">
        <v>545</v>
      </c>
      <c r="D45" s="48">
        <f t="shared" si="1"/>
        <v>17.440000000000001</v>
      </c>
      <c r="E45" s="45">
        <f t="shared" si="9"/>
        <v>36204</v>
      </c>
      <c r="F45" s="49">
        <v>0.13900000000000001</v>
      </c>
      <c r="G45" s="45">
        <f t="shared" si="10"/>
        <v>719162.04864000005</v>
      </c>
      <c r="H45" s="55">
        <v>580</v>
      </c>
      <c r="I45" s="56">
        <f t="shared" si="2"/>
        <v>18.559999999999999</v>
      </c>
      <c r="J45" s="57">
        <f t="shared" si="11"/>
        <v>36220.655172413797</v>
      </c>
      <c r="K45" s="58">
        <v>0.13900000000000001</v>
      </c>
      <c r="L45" s="59">
        <f t="shared" si="12"/>
        <v>765698.85503999994</v>
      </c>
      <c r="M45" s="37">
        <f t="shared" si="13"/>
        <v>279040</v>
      </c>
      <c r="N45" s="37">
        <f t="shared" si="14"/>
        <v>315520</v>
      </c>
      <c r="O45" s="37">
        <f t="shared" si="15"/>
        <v>94655.999999999985</v>
      </c>
      <c r="P45" s="37">
        <f t="shared" si="16"/>
        <v>74240</v>
      </c>
      <c r="Q45" s="37">
        <f t="shared" si="3"/>
        <v>1216</v>
      </c>
      <c r="R45" s="37">
        <f t="shared" si="4"/>
        <v>320</v>
      </c>
      <c r="S45" s="37">
        <f t="shared" si="5"/>
        <v>1536</v>
      </c>
      <c r="T45" s="37">
        <f t="shared" si="17"/>
        <v>12992</v>
      </c>
      <c r="U45" s="37">
        <f t="shared" si="18"/>
        <v>9280</v>
      </c>
      <c r="V45" s="37">
        <f t="shared" si="19"/>
        <v>2000</v>
      </c>
      <c r="W45" s="37">
        <f t="shared" si="20"/>
        <v>1500</v>
      </c>
      <c r="X45" s="338">
        <f t="shared" si="21"/>
        <v>22272</v>
      </c>
      <c r="Y45" s="338"/>
      <c r="Z45" s="338"/>
      <c r="AA45" s="338"/>
      <c r="AB45" s="37">
        <f t="shared" si="6"/>
        <v>1040</v>
      </c>
      <c r="AC45" s="37">
        <f t="shared" si="22"/>
        <v>1855.9999999999998</v>
      </c>
      <c r="AD45" s="37">
        <f t="shared" si="7"/>
        <v>15367.999999999998</v>
      </c>
      <c r="AE45" s="37">
        <f t="shared" si="8"/>
        <v>5600</v>
      </c>
      <c r="AF45" s="37">
        <f t="shared" si="30"/>
        <v>6496</v>
      </c>
      <c r="AG45" s="37">
        <f t="shared" si="23"/>
        <v>2784</v>
      </c>
      <c r="AH45" s="37">
        <f t="shared" si="24"/>
        <v>31551.999999999996</v>
      </c>
      <c r="AI45" s="37">
        <f t="shared" si="25"/>
        <v>563748</v>
      </c>
      <c r="AJ45" s="37">
        <f t="shared" si="26"/>
        <v>600228</v>
      </c>
      <c r="AK45" s="36">
        <f t="shared" si="27"/>
        <v>0.12</v>
      </c>
      <c r="AL45" s="37">
        <f t="shared" si="28"/>
        <v>631397.76</v>
      </c>
      <c r="AM45" s="37">
        <f t="shared" si="29"/>
        <v>672255.36</v>
      </c>
    </row>
    <row r="46" spans="1:39" s="34" customFormat="1" ht="20.100000000000001" customHeight="1" x14ac:dyDescent="0.25">
      <c r="A46" s="41">
        <v>15</v>
      </c>
      <c r="B46" s="38">
        <v>34</v>
      </c>
      <c r="C46" s="47">
        <v>545</v>
      </c>
      <c r="D46" s="48">
        <f t="shared" si="1"/>
        <v>18.53</v>
      </c>
      <c r="E46" s="45">
        <f t="shared" si="9"/>
        <v>36190.778197517539</v>
      </c>
      <c r="F46" s="49">
        <v>0.13900000000000001</v>
      </c>
      <c r="G46" s="45">
        <f t="shared" si="10"/>
        <v>763830.6216800001</v>
      </c>
      <c r="H46" s="55">
        <v>580</v>
      </c>
      <c r="I46" s="56">
        <f t="shared" si="2"/>
        <v>19.72</v>
      </c>
      <c r="J46" s="57">
        <f t="shared" si="11"/>
        <v>36208.231237322514</v>
      </c>
      <c r="K46" s="58">
        <v>0.13900000000000001</v>
      </c>
      <c r="L46" s="59">
        <f t="shared" si="12"/>
        <v>813275.97847999993</v>
      </c>
      <c r="M46" s="37">
        <f t="shared" si="13"/>
        <v>296480</v>
      </c>
      <c r="N46" s="37">
        <f t="shared" si="14"/>
        <v>335240</v>
      </c>
      <c r="O46" s="37">
        <f t="shared" si="15"/>
        <v>100571.99999999999</v>
      </c>
      <c r="P46" s="37">
        <f t="shared" si="16"/>
        <v>78880</v>
      </c>
      <c r="Q46" s="37">
        <f t="shared" si="3"/>
        <v>1292</v>
      </c>
      <c r="R46" s="37">
        <f t="shared" si="4"/>
        <v>340</v>
      </c>
      <c r="S46" s="37">
        <f t="shared" si="5"/>
        <v>1632</v>
      </c>
      <c r="T46" s="37">
        <f t="shared" si="17"/>
        <v>13804</v>
      </c>
      <c r="U46" s="37">
        <f t="shared" si="18"/>
        <v>9860</v>
      </c>
      <c r="V46" s="37">
        <f t="shared" si="19"/>
        <v>2000</v>
      </c>
      <c r="W46" s="37">
        <f t="shared" si="20"/>
        <v>1500</v>
      </c>
      <c r="X46" s="338">
        <f t="shared" si="21"/>
        <v>23664</v>
      </c>
      <c r="Y46" s="338"/>
      <c r="Z46" s="338"/>
      <c r="AA46" s="338"/>
      <c r="AB46" s="37">
        <f t="shared" si="6"/>
        <v>1105</v>
      </c>
      <c r="AC46" s="37">
        <f t="shared" si="22"/>
        <v>1972</v>
      </c>
      <c r="AD46" s="37">
        <f t="shared" si="7"/>
        <v>16328.499999999998</v>
      </c>
      <c r="AE46" s="37">
        <f t="shared" si="8"/>
        <v>5950</v>
      </c>
      <c r="AF46" s="37">
        <f t="shared" si="30"/>
        <v>6902</v>
      </c>
      <c r="AG46" s="37">
        <f t="shared" si="23"/>
        <v>2958</v>
      </c>
      <c r="AH46" s="37">
        <f t="shared" si="24"/>
        <v>33524</v>
      </c>
      <c r="AI46" s="37">
        <f t="shared" si="25"/>
        <v>598763.5</v>
      </c>
      <c r="AJ46" s="37">
        <f t="shared" si="26"/>
        <v>637523.5</v>
      </c>
      <c r="AK46" s="36">
        <f t="shared" si="27"/>
        <v>0.12</v>
      </c>
      <c r="AL46" s="37">
        <f t="shared" si="28"/>
        <v>670615.12</v>
      </c>
      <c r="AM46" s="37">
        <f t="shared" si="29"/>
        <v>714026.32</v>
      </c>
    </row>
    <row r="47" spans="1:39" s="34" customFormat="1" ht="20.100000000000001" customHeight="1" x14ac:dyDescent="0.25">
      <c r="A47" s="41">
        <v>16</v>
      </c>
      <c r="B47" s="38">
        <v>36</v>
      </c>
      <c r="C47" s="47">
        <v>545</v>
      </c>
      <c r="D47" s="48">
        <f t="shared" si="1"/>
        <v>19.62</v>
      </c>
      <c r="E47" s="45">
        <f t="shared" si="9"/>
        <v>36179.025484199796</v>
      </c>
      <c r="F47" s="49">
        <v>0.13900000000000001</v>
      </c>
      <c r="G47" s="45">
        <f t="shared" si="10"/>
        <v>808499.19472000003</v>
      </c>
      <c r="H47" s="55">
        <v>580</v>
      </c>
      <c r="I47" s="56">
        <f t="shared" si="2"/>
        <v>20.88</v>
      </c>
      <c r="J47" s="57">
        <f t="shared" si="11"/>
        <v>36197.187739463603</v>
      </c>
      <c r="K47" s="58">
        <v>0.13900000000000001</v>
      </c>
      <c r="L47" s="59">
        <f t="shared" si="12"/>
        <v>860853.10192000004</v>
      </c>
      <c r="M47" s="37">
        <f t="shared" si="13"/>
        <v>313920</v>
      </c>
      <c r="N47" s="37">
        <f t="shared" si="14"/>
        <v>354960</v>
      </c>
      <c r="O47" s="37">
        <f t="shared" si="15"/>
        <v>106487.99999999999</v>
      </c>
      <c r="P47" s="37">
        <f t="shared" si="16"/>
        <v>83520</v>
      </c>
      <c r="Q47" s="37">
        <f t="shared" si="3"/>
        <v>1368</v>
      </c>
      <c r="R47" s="37">
        <f t="shared" si="4"/>
        <v>360</v>
      </c>
      <c r="S47" s="37">
        <f t="shared" si="5"/>
        <v>1728</v>
      </c>
      <c r="T47" s="37">
        <f t="shared" si="17"/>
        <v>14615.999999999998</v>
      </c>
      <c r="U47" s="37">
        <f t="shared" si="18"/>
        <v>10440</v>
      </c>
      <c r="V47" s="37">
        <f t="shared" si="19"/>
        <v>2000</v>
      </c>
      <c r="W47" s="37">
        <f t="shared" si="20"/>
        <v>1500</v>
      </c>
      <c r="X47" s="338">
        <f t="shared" si="21"/>
        <v>25056</v>
      </c>
      <c r="Y47" s="338"/>
      <c r="Z47" s="338"/>
      <c r="AA47" s="338"/>
      <c r="AB47" s="37">
        <f t="shared" si="6"/>
        <v>1170</v>
      </c>
      <c r="AC47" s="37">
        <f t="shared" si="22"/>
        <v>2088</v>
      </c>
      <c r="AD47" s="37">
        <f t="shared" si="7"/>
        <v>17288.999999999996</v>
      </c>
      <c r="AE47" s="37">
        <f t="shared" si="8"/>
        <v>6300</v>
      </c>
      <c r="AF47" s="37">
        <f t="shared" si="30"/>
        <v>7308</v>
      </c>
      <c r="AG47" s="37">
        <f t="shared" si="23"/>
        <v>3132</v>
      </c>
      <c r="AH47" s="37">
        <f t="shared" si="24"/>
        <v>35496</v>
      </c>
      <c r="AI47" s="37">
        <f t="shared" si="25"/>
        <v>633779</v>
      </c>
      <c r="AJ47" s="37">
        <f t="shared" si="26"/>
        <v>674819</v>
      </c>
      <c r="AK47" s="36">
        <f t="shared" si="27"/>
        <v>0.12</v>
      </c>
      <c r="AL47" s="37">
        <f t="shared" si="28"/>
        <v>709832.48</v>
      </c>
      <c r="AM47" s="37">
        <f t="shared" si="29"/>
        <v>755797.28</v>
      </c>
    </row>
    <row r="48" spans="1:39" s="34" customFormat="1" ht="20.100000000000001" customHeight="1" x14ac:dyDescent="0.25">
      <c r="A48" s="41">
        <v>17</v>
      </c>
      <c r="B48" s="38">
        <v>38</v>
      </c>
      <c r="C48" s="47">
        <v>545</v>
      </c>
      <c r="D48" s="48">
        <f t="shared" si="1"/>
        <v>20.71</v>
      </c>
      <c r="E48" s="45">
        <f t="shared" si="9"/>
        <v>36168.50989859971</v>
      </c>
      <c r="F48" s="49">
        <v>0.13900000000000001</v>
      </c>
      <c r="G48" s="45">
        <f t="shared" si="10"/>
        <v>853167.76775999996</v>
      </c>
      <c r="H48" s="55">
        <v>580</v>
      </c>
      <c r="I48" s="56">
        <f t="shared" si="2"/>
        <v>22.04</v>
      </c>
      <c r="J48" s="57">
        <f t="shared" si="11"/>
        <v>36187.306715063525</v>
      </c>
      <c r="K48" s="58">
        <v>0.13900000000000001</v>
      </c>
      <c r="L48" s="59">
        <f t="shared" si="12"/>
        <v>908430.22536000016</v>
      </c>
      <c r="M48" s="37">
        <f t="shared" si="13"/>
        <v>331360</v>
      </c>
      <c r="N48" s="37">
        <f t="shared" si="14"/>
        <v>374680</v>
      </c>
      <c r="O48" s="37">
        <f t="shared" si="15"/>
        <v>112403.99999999999</v>
      </c>
      <c r="P48" s="37">
        <f t="shared" si="16"/>
        <v>88160</v>
      </c>
      <c r="Q48" s="37">
        <f t="shared" si="3"/>
        <v>1444</v>
      </c>
      <c r="R48" s="37">
        <f t="shared" si="4"/>
        <v>380</v>
      </c>
      <c r="S48" s="37">
        <f t="shared" si="5"/>
        <v>1824</v>
      </c>
      <c r="T48" s="37">
        <f t="shared" si="17"/>
        <v>15427.999999999998</v>
      </c>
      <c r="U48" s="37">
        <f t="shared" si="18"/>
        <v>11020</v>
      </c>
      <c r="V48" s="37">
        <f t="shared" si="19"/>
        <v>2000</v>
      </c>
      <c r="W48" s="37">
        <f t="shared" si="20"/>
        <v>1500</v>
      </c>
      <c r="X48" s="338">
        <f t="shared" si="21"/>
        <v>26448</v>
      </c>
      <c r="Y48" s="338"/>
      <c r="Z48" s="338"/>
      <c r="AA48" s="338"/>
      <c r="AB48" s="37">
        <f t="shared" si="6"/>
        <v>1235</v>
      </c>
      <c r="AC48" s="37">
        <f t="shared" si="22"/>
        <v>2204</v>
      </c>
      <c r="AD48" s="37">
        <f t="shared" si="7"/>
        <v>18249.5</v>
      </c>
      <c r="AE48" s="37">
        <f t="shared" si="8"/>
        <v>6650</v>
      </c>
      <c r="AF48" s="37">
        <f t="shared" si="30"/>
        <v>7714</v>
      </c>
      <c r="AG48" s="37">
        <f t="shared" si="23"/>
        <v>3306</v>
      </c>
      <c r="AH48" s="37">
        <f t="shared" si="24"/>
        <v>37468</v>
      </c>
      <c r="AI48" s="37">
        <f t="shared" si="25"/>
        <v>668794.5</v>
      </c>
      <c r="AJ48" s="37">
        <f t="shared" si="26"/>
        <v>712114.5</v>
      </c>
      <c r="AK48" s="36">
        <f t="shared" si="27"/>
        <v>0.12</v>
      </c>
      <c r="AL48" s="37">
        <f t="shared" si="28"/>
        <v>749049.84</v>
      </c>
      <c r="AM48" s="37">
        <f t="shared" si="29"/>
        <v>797568.24</v>
      </c>
    </row>
    <row r="49" spans="1:39" s="34" customFormat="1" ht="20.100000000000001" customHeight="1" x14ac:dyDescent="0.25">
      <c r="A49" s="41">
        <v>18</v>
      </c>
      <c r="B49" s="38">
        <v>40</v>
      </c>
      <c r="C49" s="47">
        <v>545</v>
      </c>
      <c r="D49" s="48">
        <f t="shared" si="1"/>
        <v>21.8</v>
      </c>
      <c r="E49" s="45">
        <f t="shared" si="9"/>
        <v>36159.045871559632</v>
      </c>
      <c r="F49" s="49">
        <v>0.13900000000000001</v>
      </c>
      <c r="G49" s="45">
        <f t="shared" si="10"/>
        <v>897836.34080000012</v>
      </c>
      <c r="H49" s="55">
        <v>580</v>
      </c>
      <c r="I49" s="56">
        <f t="shared" si="2"/>
        <v>23.2</v>
      </c>
      <c r="J49" s="57">
        <f t="shared" si="11"/>
        <v>36178.413793103449</v>
      </c>
      <c r="K49" s="58">
        <v>0.13900000000000001</v>
      </c>
      <c r="L49" s="59">
        <f t="shared" si="12"/>
        <v>956007.34880000004</v>
      </c>
      <c r="M49" s="37">
        <f t="shared" si="13"/>
        <v>348800</v>
      </c>
      <c r="N49" s="37">
        <f t="shared" si="14"/>
        <v>394400</v>
      </c>
      <c r="O49" s="37">
        <f t="shared" si="15"/>
        <v>118320</v>
      </c>
      <c r="P49" s="37">
        <f t="shared" si="16"/>
        <v>92800</v>
      </c>
      <c r="Q49" s="37">
        <f t="shared" si="3"/>
        <v>1520</v>
      </c>
      <c r="R49" s="37">
        <f t="shared" si="4"/>
        <v>400</v>
      </c>
      <c r="S49" s="37">
        <f t="shared" si="5"/>
        <v>1920</v>
      </c>
      <c r="T49" s="37">
        <f t="shared" si="17"/>
        <v>16239.999999999998</v>
      </c>
      <c r="U49" s="37">
        <f t="shared" si="18"/>
        <v>11600</v>
      </c>
      <c r="V49" s="37">
        <f t="shared" si="19"/>
        <v>2000</v>
      </c>
      <c r="W49" s="37">
        <f t="shared" si="20"/>
        <v>1500</v>
      </c>
      <c r="X49" s="338">
        <f t="shared" si="21"/>
        <v>27840</v>
      </c>
      <c r="Y49" s="338"/>
      <c r="Z49" s="338"/>
      <c r="AA49" s="338"/>
      <c r="AB49" s="37">
        <f t="shared" si="6"/>
        <v>1300</v>
      </c>
      <c r="AC49" s="37">
        <f t="shared" si="22"/>
        <v>2320</v>
      </c>
      <c r="AD49" s="37">
        <f t="shared" si="7"/>
        <v>19210</v>
      </c>
      <c r="AE49" s="37">
        <f t="shared" si="8"/>
        <v>7000</v>
      </c>
      <c r="AF49" s="37">
        <f t="shared" si="30"/>
        <v>8120</v>
      </c>
      <c r="AG49" s="37">
        <f t="shared" si="23"/>
        <v>3480</v>
      </c>
      <c r="AH49" s="37">
        <f t="shared" si="24"/>
        <v>39440</v>
      </c>
      <c r="AI49" s="37">
        <f t="shared" si="25"/>
        <v>703810</v>
      </c>
      <c r="AJ49" s="37">
        <f t="shared" si="26"/>
        <v>749410</v>
      </c>
      <c r="AK49" s="36">
        <f t="shared" si="27"/>
        <v>0.12</v>
      </c>
      <c r="AL49" s="37">
        <f t="shared" si="28"/>
        <v>788267.2</v>
      </c>
      <c r="AM49" s="37">
        <f t="shared" si="29"/>
        <v>839339.2</v>
      </c>
    </row>
    <row r="50" spans="1:39" s="34" customFormat="1" ht="20.100000000000001" customHeight="1" x14ac:dyDescent="0.25">
      <c r="A50" s="41">
        <v>19</v>
      </c>
      <c r="B50" s="38">
        <v>42</v>
      </c>
      <c r="C50" s="47">
        <v>545</v>
      </c>
      <c r="D50" s="48">
        <f t="shared" si="1"/>
        <v>22.89</v>
      </c>
      <c r="E50" s="45">
        <f t="shared" si="9"/>
        <v>36150.483180428135</v>
      </c>
      <c r="F50" s="49">
        <v>0.13900000000000001</v>
      </c>
      <c r="G50" s="45">
        <f t="shared" si="10"/>
        <v>942504.91384000005</v>
      </c>
      <c r="H50" s="55">
        <v>580</v>
      </c>
      <c r="I50" s="56">
        <f t="shared" si="2"/>
        <v>24.36</v>
      </c>
      <c r="J50" s="57">
        <f t="shared" si="11"/>
        <v>36170.367816091959</v>
      </c>
      <c r="K50" s="58">
        <v>0.13900000000000001</v>
      </c>
      <c r="L50" s="59">
        <f t="shared" si="12"/>
        <v>1003584.47224</v>
      </c>
      <c r="M50" s="37">
        <f t="shared" si="13"/>
        <v>366240</v>
      </c>
      <c r="N50" s="37">
        <f t="shared" si="14"/>
        <v>414120</v>
      </c>
      <c r="O50" s="37">
        <f t="shared" si="15"/>
        <v>124235.99999999999</v>
      </c>
      <c r="P50" s="37">
        <f t="shared" si="16"/>
        <v>97440</v>
      </c>
      <c r="Q50" s="37">
        <f t="shared" si="3"/>
        <v>1596</v>
      </c>
      <c r="R50" s="37">
        <f t="shared" si="4"/>
        <v>420</v>
      </c>
      <c r="S50" s="37">
        <f t="shared" si="5"/>
        <v>2016</v>
      </c>
      <c r="T50" s="37">
        <f t="shared" si="17"/>
        <v>17052</v>
      </c>
      <c r="U50" s="37">
        <f t="shared" si="18"/>
        <v>12180</v>
      </c>
      <c r="V50" s="37">
        <f t="shared" si="19"/>
        <v>2000</v>
      </c>
      <c r="W50" s="37">
        <f t="shared" si="20"/>
        <v>1500</v>
      </c>
      <c r="X50" s="338">
        <f t="shared" si="21"/>
        <v>29232</v>
      </c>
      <c r="Y50" s="338"/>
      <c r="Z50" s="338"/>
      <c r="AA50" s="338"/>
      <c r="AB50" s="37">
        <f t="shared" si="6"/>
        <v>1365</v>
      </c>
      <c r="AC50" s="37">
        <f t="shared" si="22"/>
        <v>2436</v>
      </c>
      <c r="AD50" s="37">
        <f t="shared" si="7"/>
        <v>20170.499999999996</v>
      </c>
      <c r="AE50" s="37">
        <f t="shared" si="8"/>
        <v>7350</v>
      </c>
      <c r="AF50" s="37">
        <f t="shared" si="30"/>
        <v>8526</v>
      </c>
      <c r="AG50" s="37">
        <f t="shared" si="23"/>
        <v>3654</v>
      </c>
      <c r="AH50" s="37">
        <f t="shared" si="24"/>
        <v>41412</v>
      </c>
      <c r="AI50" s="37">
        <f t="shared" si="25"/>
        <v>738825.5</v>
      </c>
      <c r="AJ50" s="37">
        <f t="shared" si="26"/>
        <v>786705.5</v>
      </c>
      <c r="AK50" s="36">
        <f t="shared" si="27"/>
        <v>0.12</v>
      </c>
      <c r="AL50" s="37">
        <f t="shared" si="28"/>
        <v>827484.56</v>
      </c>
      <c r="AM50" s="37">
        <f t="shared" si="29"/>
        <v>881110.16</v>
      </c>
    </row>
    <row r="51" spans="1:39" s="34" customFormat="1" ht="20.100000000000001" customHeight="1" x14ac:dyDescent="0.25">
      <c r="A51" s="41">
        <v>20</v>
      </c>
      <c r="B51" s="38">
        <v>44</v>
      </c>
      <c r="C51" s="47">
        <v>545</v>
      </c>
      <c r="D51" s="48">
        <f t="shared" si="1"/>
        <v>23.98</v>
      </c>
      <c r="E51" s="45">
        <f t="shared" si="9"/>
        <v>36142.69891576314</v>
      </c>
      <c r="F51" s="49">
        <v>0.13900000000000001</v>
      </c>
      <c r="G51" s="45">
        <f t="shared" si="10"/>
        <v>987173.48688000022</v>
      </c>
      <c r="H51" s="55">
        <v>580</v>
      </c>
      <c r="I51" s="56">
        <f t="shared" si="2"/>
        <v>25.52</v>
      </c>
      <c r="J51" s="57">
        <f t="shared" si="11"/>
        <v>36163.053291536053</v>
      </c>
      <c r="K51" s="58">
        <v>0.13900000000000001</v>
      </c>
      <c r="L51" s="59">
        <f t="shared" si="12"/>
        <v>1051161.59568</v>
      </c>
      <c r="M51" s="37">
        <f t="shared" si="13"/>
        <v>383680</v>
      </c>
      <c r="N51" s="37">
        <f t="shared" si="14"/>
        <v>433840</v>
      </c>
      <c r="O51" s="37">
        <f t="shared" si="15"/>
        <v>130151.99999999999</v>
      </c>
      <c r="P51" s="37">
        <f t="shared" si="16"/>
        <v>102080</v>
      </c>
      <c r="Q51" s="37">
        <f t="shared" si="3"/>
        <v>1672</v>
      </c>
      <c r="R51" s="37">
        <f t="shared" si="4"/>
        <v>440</v>
      </c>
      <c r="S51" s="37">
        <f t="shared" si="5"/>
        <v>2112</v>
      </c>
      <c r="T51" s="37">
        <f t="shared" si="17"/>
        <v>17864</v>
      </c>
      <c r="U51" s="37">
        <f t="shared" si="18"/>
        <v>12760</v>
      </c>
      <c r="V51" s="37">
        <f t="shared" si="19"/>
        <v>2000</v>
      </c>
      <c r="W51" s="37">
        <f t="shared" si="20"/>
        <v>1500</v>
      </c>
      <c r="X51" s="338">
        <f t="shared" si="21"/>
        <v>30624</v>
      </c>
      <c r="Y51" s="338"/>
      <c r="Z51" s="338"/>
      <c r="AA51" s="338"/>
      <c r="AB51" s="37">
        <f t="shared" si="6"/>
        <v>1430</v>
      </c>
      <c r="AC51" s="37">
        <f t="shared" si="22"/>
        <v>2552</v>
      </c>
      <c r="AD51" s="37">
        <f t="shared" si="7"/>
        <v>21131</v>
      </c>
      <c r="AE51" s="37">
        <f t="shared" si="8"/>
        <v>7700</v>
      </c>
      <c r="AF51" s="37">
        <f t="shared" si="30"/>
        <v>8932</v>
      </c>
      <c r="AG51" s="37">
        <f t="shared" si="23"/>
        <v>3828</v>
      </c>
      <c r="AH51" s="37">
        <f t="shared" si="24"/>
        <v>43384</v>
      </c>
      <c r="AI51" s="37">
        <f t="shared" si="25"/>
        <v>773841</v>
      </c>
      <c r="AJ51" s="37">
        <f t="shared" si="26"/>
        <v>824001</v>
      </c>
      <c r="AK51" s="36">
        <f t="shared" si="27"/>
        <v>0.12</v>
      </c>
      <c r="AL51" s="37">
        <f t="shared" si="28"/>
        <v>866701.92</v>
      </c>
      <c r="AM51" s="37">
        <f t="shared" si="29"/>
        <v>922881.12</v>
      </c>
    </row>
    <row r="52" spans="1:39" s="34" customFormat="1" ht="20.100000000000001" customHeight="1" x14ac:dyDescent="0.25">
      <c r="A52" s="41">
        <v>21</v>
      </c>
      <c r="B52" s="38">
        <v>46</v>
      </c>
      <c r="C52" s="47">
        <v>545</v>
      </c>
      <c r="D52" s="48">
        <f t="shared" si="1"/>
        <v>25.07</v>
      </c>
      <c r="E52" s="45">
        <f t="shared" si="9"/>
        <v>36135.5915436777</v>
      </c>
      <c r="F52" s="49">
        <v>0.13900000000000001</v>
      </c>
      <c r="G52" s="45">
        <f t="shared" si="10"/>
        <v>1031842.05992</v>
      </c>
      <c r="H52" s="55">
        <v>580</v>
      </c>
      <c r="I52" s="56">
        <f t="shared" si="2"/>
        <v>26.68</v>
      </c>
      <c r="J52" s="57">
        <f t="shared" si="11"/>
        <v>36156.374812593705</v>
      </c>
      <c r="K52" s="58">
        <v>0.13900000000000001</v>
      </c>
      <c r="L52" s="59">
        <f t="shared" si="12"/>
        <v>1098738.71912</v>
      </c>
      <c r="M52" s="37">
        <f t="shared" si="13"/>
        <v>401120</v>
      </c>
      <c r="N52" s="37">
        <f t="shared" si="14"/>
        <v>453560</v>
      </c>
      <c r="O52" s="37">
        <f t="shared" si="15"/>
        <v>136067.99999999997</v>
      </c>
      <c r="P52" s="37">
        <f t="shared" si="16"/>
        <v>106720</v>
      </c>
      <c r="Q52" s="37">
        <f t="shared" si="3"/>
        <v>1748</v>
      </c>
      <c r="R52" s="37">
        <f t="shared" si="4"/>
        <v>460</v>
      </c>
      <c r="S52" s="37">
        <f t="shared" si="5"/>
        <v>2208</v>
      </c>
      <c r="T52" s="37">
        <f t="shared" si="17"/>
        <v>18676</v>
      </c>
      <c r="U52" s="37">
        <f t="shared" si="18"/>
        <v>13340</v>
      </c>
      <c r="V52" s="37">
        <f t="shared" si="19"/>
        <v>2000</v>
      </c>
      <c r="W52" s="37">
        <f t="shared" si="20"/>
        <v>1500</v>
      </c>
      <c r="X52" s="338">
        <f t="shared" si="21"/>
        <v>32016</v>
      </c>
      <c r="Y52" s="338"/>
      <c r="Z52" s="338"/>
      <c r="AA52" s="338"/>
      <c r="AB52" s="37">
        <f t="shared" si="6"/>
        <v>1495</v>
      </c>
      <c r="AC52" s="37">
        <f t="shared" si="22"/>
        <v>2668</v>
      </c>
      <c r="AD52" s="37">
        <f t="shared" si="7"/>
        <v>22091.5</v>
      </c>
      <c r="AE52" s="37">
        <f t="shared" si="8"/>
        <v>8050</v>
      </c>
      <c r="AF52" s="37">
        <f t="shared" si="30"/>
        <v>9338</v>
      </c>
      <c r="AG52" s="37">
        <f t="shared" si="23"/>
        <v>4002</v>
      </c>
      <c r="AH52" s="37">
        <f t="shared" si="24"/>
        <v>45356</v>
      </c>
      <c r="AI52" s="37">
        <f t="shared" si="25"/>
        <v>808856.5</v>
      </c>
      <c r="AJ52" s="37">
        <f t="shared" si="26"/>
        <v>861296.5</v>
      </c>
      <c r="AK52" s="36">
        <f t="shared" si="27"/>
        <v>0.12</v>
      </c>
      <c r="AL52" s="37">
        <f t="shared" si="28"/>
        <v>905919.28</v>
      </c>
      <c r="AM52" s="37">
        <f t="shared" si="29"/>
        <v>964652.08</v>
      </c>
    </row>
    <row r="53" spans="1:39" s="34" customFormat="1" ht="20.100000000000001" customHeight="1" x14ac:dyDescent="0.25">
      <c r="A53" s="41">
        <v>22</v>
      </c>
      <c r="B53" s="38">
        <v>48</v>
      </c>
      <c r="C53" s="47">
        <v>545</v>
      </c>
      <c r="D53" s="48">
        <f t="shared" si="1"/>
        <v>26.16</v>
      </c>
      <c r="E53" s="45">
        <f t="shared" si="9"/>
        <v>36129.076452599387</v>
      </c>
      <c r="F53" s="49">
        <v>0.13900000000000001</v>
      </c>
      <c r="G53" s="45">
        <f t="shared" si="10"/>
        <v>1076510.6329599998</v>
      </c>
      <c r="H53" s="55">
        <v>580</v>
      </c>
      <c r="I53" s="56">
        <f t="shared" si="2"/>
        <v>27.84</v>
      </c>
      <c r="J53" s="57">
        <f t="shared" si="11"/>
        <v>36150.252873563222</v>
      </c>
      <c r="K53" s="58">
        <v>0.13900000000000001</v>
      </c>
      <c r="L53" s="59">
        <f t="shared" si="12"/>
        <v>1146315.84256</v>
      </c>
      <c r="M53" s="37">
        <f t="shared" si="13"/>
        <v>418560</v>
      </c>
      <c r="N53" s="37">
        <f t="shared" si="14"/>
        <v>473280</v>
      </c>
      <c r="O53" s="37">
        <f t="shared" si="15"/>
        <v>141983.99999999997</v>
      </c>
      <c r="P53" s="37">
        <f t="shared" si="16"/>
        <v>111360</v>
      </c>
      <c r="Q53" s="37">
        <f t="shared" si="3"/>
        <v>1824</v>
      </c>
      <c r="R53" s="37">
        <f t="shared" si="4"/>
        <v>480</v>
      </c>
      <c r="S53" s="37">
        <f t="shared" si="5"/>
        <v>2304</v>
      </c>
      <c r="T53" s="37">
        <f t="shared" si="17"/>
        <v>19488</v>
      </c>
      <c r="U53" s="37">
        <f t="shared" si="18"/>
        <v>13920</v>
      </c>
      <c r="V53" s="37">
        <f t="shared" si="19"/>
        <v>2000</v>
      </c>
      <c r="W53" s="37">
        <f t="shared" si="20"/>
        <v>1500</v>
      </c>
      <c r="X53" s="338">
        <f t="shared" ref="X53:X116" si="31">$E$14*I53</f>
        <v>33408</v>
      </c>
      <c r="Y53" s="338"/>
      <c r="Z53" s="338"/>
      <c r="AA53" s="338"/>
      <c r="AB53" s="37">
        <f t="shared" si="6"/>
        <v>1560</v>
      </c>
      <c r="AC53" s="37">
        <f t="shared" si="22"/>
        <v>2784</v>
      </c>
      <c r="AD53" s="37">
        <f t="shared" si="7"/>
        <v>23051.999999999996</v>
      </c>
      <c r="AE53" s="37">
        <f t="shared" si="8"/>
        <v>8400</v>
      </c>
      <c r="AF53" s="37">
        <f t="shared" si="30"/>
        <v>9744</v>
      </c>
      <c r="AG53" s="37">
        <f t="shared" si="23"/>
        <v>4176</v>
      </c>
      <c r="AH53" s="37">
        <f t="shared" si="24"/>
        <v>47328</v>
      </c>
      <c r="AI53" s="37">
        <f t="shared" si="25"/>
        <v>843872</v>
      </c>
      <c r="AJ53" s="37">
        <f t="shared" si="26"/>
        <v>898592</v>
      </c>
      <c r="AK53" s="36">
        <f t="shared" si="27"/>
        <v>0.12</v>
      </c>
      <c r="AL53" s="37">
        <f t="shared" si="28"/>
        <v>945136.64000000001</v>
      </c>
      <c r="AM53" s="37">
        <f t="shared" si="29"/>
        <v>1006423.04</v>
      </c>
    </row>
    <row r="54" spans="1:39" s="34" customFormat="1" ht="20.100000000000001" customHeight="1" x14ac:dyDescent="0.25">
      <c r="A54" s="41">
        <v>23</v>
      </c>
      <c r="B54" s="38">
        <v>50</v>
      </c>
      <c r="C54" s="47">
        <v>545</v>
      </c>
      <c r="D54" s="48">
        <f t="shared" si="1"/>
        <v>27.25</v>
      </c>
      <c r="E54" s="45">
        <f t="shared" si="9"/>
        <v>36123.082568807338</v>
      </c>
      <c r="F54" s="49">
        <v>0.13900000000000001</v>
      </c>
      <c r="G54" s="45">
        <f t="shared" si="10"/>
        <v>1121179.206</v>
      </c>
      <c r="H54" s="55">
        <v>580</v>
      </c>
      <c r="I54" s="56">
        <f t="shared" si="2"/>
        <v>29</v>
      </c>
      <c r="J54" s="57">
        <f t="shared" si="11"/>
        <v>36144.620689655174</v>
      </c>
      <c r="K54" s="58">
        <v>0.13900000000000001</v>
      </c>
      <c r="L54" s="59">
        <f t="shared" si="12"/>
        <v>1193892.966</v>
      </c>
      <c r="M54" s="37">
        <f t="shared" si="13"/>
        <v>436000</v>
      </c>
      <c r="N54" s="37">
        <f t="shared" si="14"/>
        <v>493000</v>
      </c>
      <c r="O54" s="37">
        <f t="shared" si="15"/>
        <v>147899.99999999997</v>
      </c>
      <c r="P54" s="37">
        <f t="shared" si="16"/>
        <v>116000</v>
      </c>
      <c r="Q54" s="37">
        <f t="shared" si="3"/>
        <v>1900</v>
      </c>
      <c r="R54" s="37">
        <f t="shared" si="4"/>
        <v>500</v>
      </c>
      <c r="S54" s="37">
        <f t="shared" si="5"/>
        <v>2400</v>
      </c>
      <c r="T54" s="37">
        <f t="shared" si="17"/>
        <v>20300</v>
      </c>
      <c r="U54" s="37">
        <f t="shared" si="18"/>
        <v>14500</v>
      </c>
      <c r="V54" s="37">
        <f t="shared" si="19"/>
        <v>2000</v>
      </c>
      <c r="W54" s="37">
        <f t="shared" si="20"/>
        <v>1500</v>
      </c>
      <c r="X54" s="338">
        <f t="shared" si="31"/>
        <v>34800</v>
      </c>
      <c r="Y54" s="338"/>
      <c r="Z54" s="338"/>
      <c r="AA54" s="338"/>
      <c r="AB54" s="37">
        <f t="shared" si="6"/>
        <v>1625</v>
      </c>
      <c r="AC54" s="37">
        <f t="shared" si="22"/>
        <v>2900</v>
      </c>
      <c r="AD54" s="37">
        <f t="shared" si="7"/>
        <v>24012.499999999996</v>
      </c>
      <c r="AE54" s="37">
        <f t="shared" si="8"/>
        <v>8750</v>
      </c>
      <c r="AF54" s="37">
        <f t="shared" si="30"/>
        <v>10150</v>
      </c>
      <c r="AG54" s="37">
        <f t="shared" si="23"/>
        <v>4350</v>
      </c>
      <c r="AH54" s="37">
        <f t="shared" si="24"/>
        <v>49300</v>
      </c>
      <c r="AI54" s="37">
        <f t="shared" si="25"/>
        <v>878887.5</v>
      </c>
      <c r="AJ54" s="37">
        <f t="shared" si="26"/>
        <v>935887.5</v>
      </c>
      <c r="AK54" s="36">
        <f t="shared" si="27"/>
        <v>0.12</v>
      </c>
      <c r="AL54" s="37">
        <f t="shared" si="28"/>
        <v>984354</v>
      </c>
      <c r="AM54" s="37">
        <f t="shared" si="29"/>
        <v>1048194</v>
      </c>
    </row>
    <row r="55" spans="1:39" s="34" customFormat="1" ht="20.100000000000001" customHeight="1" x14ac:dyDescent="0.25">
      <c r="A55" s="41">
        <v>24</v>
      </c>
      <c r="B55" s="38">
        <v>52</v>
      </c>
      <c r="C55" s="47">
        <v>545</v>
      </c>
      <c r="D55" s="48">
        <f t="shared" si="1"/>
        <v>28.34</v>
      </c>
      <c r="E55" s="45">
        <f t="shared" si="9"/>
        <v>36117.549752999294</v>
      </c>
      <c r="F55" s="49">
        <v>0.13900000000000001</v>
      </c>
      <c r="G55" s="45">
        <f t="shared" si="10"/>
        <v>1165847.7790399999</v>
      </c>
      <c r="H55" s="55">
        <v>580</v>
      </c>
      <c r="I55" s="56">
        <f t="shared" si="2"/>
        <v>30.16</v>
      </c>
      <c r="J55" s="57">
        <f t="shared" si="11"/>
        <v>36139.421750663132</v>
      </c>
      <c r="K55" s="58">
        <v>0.13900000000000001</v>
      </c>
      <c r="L55" s="59">
        <f t="shared" si="12"/>
        <v>1241470.08944</v>
      </c>
      <c r="M55" s="37">
        <f t="shared" si="13"/>
        <v>453440</v>
      </c>
      <c r="N55" s="37">
        <f t="shared" si="14"/>
        <v>512720</v>
      </c>
      <c r="O55" s="37">
        <f t="shared" si="15"/>
        <v>153816</v>
      </c>
      <c r="P55" s="37">
        <f t="shared" si="16"/>
        <v>120640</v>
      </c>
      <c r="Q55" s="37">
        <f t="shared" si="3"/>
        <v>1976</v>
      </c>
      <c r="R55" s="37">
        <f t="shared" si="4"/>
        <v>520</v>
      </c>
      <c r="S55" s="37">
        <f t="shared" si="5"/>
        <v>2496</v>
      </c>
      <c r="T55" s="37">
        <f t="shared" si="17"/>
        <v>21112</v>
      </c>
      <c r="U55" s="37">
        <f t="shared" si="18"/>
        <v>15080</v>
      </c>
      <c r="V55" s="37">
        <f t="shared" si="19"/>
        <v>2000</v>
      </c>
      <c r="W55" s="37">
        <f t="shared" si="20"/>
        <v>1500</v>
      </c>
      <c r="X55" s="338">
        <f t="shared" si="31"/>
        <v>36192</v>
      </c>
      <c r="Y55" s="338"/>
      <c r="Z55" s="338"/>
      <c r="AA55" s="338"/>
      <c r="AB55" s="37">
        <f t="shared" si="6"/>
        <v>1690</v>
      </c>
      <c r="AC55" s="37">
        <f t="shared" si="22"/>
        <v>3016</v>
      </c>
      <c r="AD55" s="37">
        <f t="shared" si="7"/>
        <v>24972.999999999996</v>
      </c>
      <c r="AE55" s="37">
        <f t="shared" si="8"/>
        <v>9100</v>
      </c>
      <c r="AF55" s="37">
        <f t="shared" si="30"/>
        <v>10556</v>
      </c>
      <c r="AG55" s="37">
        <f t="shared" si="23"/>
        <v>4524</v>
      </c>
      <c r="AH55" s="37">
        <f t="shared" si="24"/>
        <v>51272</v>
      </c>
      <c r="AI55" s="37">
        <f t="shared" si="25"/>
        <v>913903</v>
      </c>
      <c r="AJ55" s="37">
        <f t="shared" si="26"/>
        <v>973183</v>
      </c>
      <c r="AK55" s="36">
        <f t="shared" si="27"/>
        <v>0.12</v>
      </c>
      <c r="AL55" s="37">
        <f t="shared" si="28"/>
        <v>1023571.36</v>
      </c>
      <c r="AM55" s="37">
        <f t="shared" si="29"/>
        <v>1089964.96</v>
      </c>
    </row>
    <row r="56" spans="1:39" s="34" customFormat="1" ht="20.100000000000001" customHeight="1" x14ac:dyDescent="0.25">
      <c r="A56" s="41">
        <v>25</v>
      </c>
      <c r="B56" s="38">
        <v>54</v>
      </c>
      <c r="C56" s="47">
        <v>545</v>
      </c>
      <c r="D56" s="48">
        <f t="shared" si="1"/>
        <v>29.43</v>
      </c>
      <c r="E56" s="45">
        <f t="shared" si="9"/>
        <v>36112.426775399254</v>
      </c>
      <c r="F56" s="49">
        <v>0.13900000000000001</v>
      </c>
      <c r="G56" s="45">
        <f t="shared" si="10"/>
        <v>1210516.3520800001</v>
      </c>
      <c r="H56" s="55">
        <v>580</v>
      </c>
      <c r="I56" s="56">
        <f t="shared" si="2"/>
        <v>31.32</v>
      </c>
      <c r="J56" s="57">
        <f t="shared" si="11"/>
        <v>36134.607918263086</v>
      </c>
      <c r="K56" s="58">
        <v>0.13900000000000001</v>
      </c>
      <c r="L56" s="59">
        <f t="shared" si="12"/>
        <v>1289047.2128799998</v>
      </c>
      <c r="M56" s="37">
        <f t="shared" si="13"/>
        <v>470880</v>
      </c>
      <c r="N56" s="37">
        <f t="shared" si="14"/>
        <v>532440</v>
      </c>
      <c r="O56" s="37">
        <f t="shared" si="15"/>
        <v>159732</v>
      </c>
      <c r="P56" s="37">
        <f t="shared" si="16"/>
        <v>125280</v>
      </c>
      <c r="Q56" s="37">
        <f t="shared" si="3"/>
        <v>2052</v>
      </c>
      <c r="R56" s="37">
        <f t="shared" si="4"/>
        <v>540</v>
      </c>
      <c r="S56" s="37">
        <f t="shared" si="5"/>
        <v>2592</v>
      </c>
      <c r="T56" s="37">
        <f t="shared" si="17"/>
        <v>21924</v>
      </c>
      <c r="U56" s="37">
        <f t="shared" si="18"/>
        <v>15660</v>
      </c>
      <c r="V56" s="37">
        <f t="shared" si="19"/>
        <v>2000</v>
      </c>
      <c r="W56" s="37">
        <f t="shared" si="20"/>
        <v>1500</v>
      </c>
      <c r="X56" s="338">
        <f t="shared" si="31"/>
        <v>37584</v>
      </c>
      <c r="Y56" s="338"/>
      <c r="Z56" s="338"/>
      <c r="AA56" s="338"/>
      <c r="AB56" s="37">
        <f t="shared" si="6"/>
        <v>1755</v>
      </c>
      <c r="AC56" s="37">
        <f t="shared" si="22"/>
        <v>3132</v>
      </c>
      <c r="AD56" s="37">
        <f t="shared" si="7"/>
        <v>25933.5</v>
      </c>
      <c r="AE56" s="37">
        <f t="shared" si="8"/>
        <v>9450</v>
      </c>
      <c r="AF56" s="37">
        <f t="shared" si="30"/>
        <v>10962</v>
      </c>
      <c r="AG56" s="37">
        <f t="shared" si="23"/>
        <v>4698</v>
      </c>
      <c r="AH56" s="37">
        <f t="shared" si="24"/>
        <v>53244</v>
      </c>
      <c r="AI56" s="37">
        <f t="shared" si="25"/>
        <v>948918.5</v>
      </c>
      <c r="AJ56" s="37">
        <f t="shared" si="26"/>
        <v>1010478.5</v>
      </c>
      <c r="AK56" s="36">
        <f t="shared" si="27"/>
        <v>0.12</v>
      </c>
      <c r="AL56" s="37">
        <f t="shared" si="28"/>
        <v>1062788.72</v>
      </c>
      <c r="AM56" s="37">
        <f t="shared" si="29"/>
        <v>1131735.92</v>
      </c>
    </row>
    <row r="57" spans="1:39" s="34" customFormat="1" ht="20.100000000000001" customHeight="1" x14ac:dyDescent="0.25">
      <c r="A57" s="41">
        <v>26</v>
      </c>
      <c r="B57" s="38">
        <v>56</v>
      </c>
      <c r="C57" s="47">
        <v>545</v>
      </c>
      <c r="D57" s="48">
        <f t="shared" si="1"/>
        <v>30.52</v>
      </c>
      <c r="E57" s="45">
        <f t="shared" si="9"/>
        <v>36107.669724770647</v>
      </c>
      <c r="F57" s="49">
        <v>0.13900000000000001</v>
      </c>
      <c r="G57" s="45">
        <f t="shared" si="10"/>
        <v>1255184.92512</v>
      </c>
      <c r="H57" s="55">
        <v>580</v>
      </c>
      <c r="I57" s="56">
        <f t="shared" si="2"/>
        <v>32.479999999999997</v>
      </c>
      <c r="J57" s="57">
        <f t="shared" si="11"/>
        <v>36130.137931034486</v>
      </c>
      <c r="K57" s="58">
        <v>0.13900000000000001</v>
      </c>
      <c r="L57" s="59">
        <f t="shared" si="12"/>
        <v>1336624.33632</v>
      </c>
      <c r="M57" s="37">
        <f t="shared" si="13"/>
        <v>488320</v>
      </c>
      <c r="N57" s="37">
        <f t="shared" si="14"/>
        <v>552159.99999999988</v>
      </c>
      <c r="O57" s="37">
        <f t="shared" si="15"/>
        <v>165647.99999999997</v>
      </c>
      <c r="P57" s="37">
        <f t="shared" si="16"/>
        <v>129919.99999999999</v>
      </c>
      <c r="Q57" s="37">
        <f t="shared" si="3"/>
        <v>2128</v>
      </c>
      <c r="R57" s="37">
        <f t="shared" si="4"/>
        <v>560</v>
      </c>
      <c r="S57" s="37">
        <f t="shared" si="5"/>
        <v>2688</v>
      </c>
      <c r="T57" s="37">
        <f t="shared" si="17"/>
        <v>22735.999999999996</v>
      </c>
      <c r="U57" s="37">
        <f t="shared" si="18"/>
        <v>16239.999999999998</v>
      </c>
      <c r="V57" s="37">
        <f t="shared" si="19"/>
        <v>2000</v>
      </c>
      <c r="W57" s="37">
        <f t="shared" si="20"/>
        <v>1500</v>
      </c>
      <c r="X57" s="338">
        <f t="shared" si="31"/>
        <v>38975.999999999993</v>
      </c>
      <c r="Y57" s="338"/>
      <c r="Z57" s="338"/>
      <c r="AA57" s="338"/>
      <c r="AB57" s="37">
        <f t="shared" si="6"/>
        <v>1820</v>
      </c>
      <c r="AC57" s="37">
        <f t="shared" si="22"/>
        <v>3247.9999999999995</v>
      </c>
      <c r="AD57" s="37">
        <f t="shared" si="7"/>
        <v>26893.999999999996</v>
      </c>
      <c r="AE57" s="37">
        <f t="shared" si="8"/>
        <v>9800</v>
      </c>
      <c r="AF57" s="37">
        <f t="shared" si="30"/>
        <v>11367.999999999998</v>
      </c>
      <c r="AG57" s="37">
        <f t="shared" si="23"/>
        <v>4871.9999999999991</v>
      </c>
      <c r="AH57" s="37">
        <f t="shared" si="24"/>
        <v>55215.999999999993</v>
      </c>
      <c r="AI57" s="37">
        <f t="shared" si="25"/>
        <v>983934</v>
      </c>
      <c r="AJ57" s="37">
        <f t="shared" si="26"/>
        <v>1047773.9999999999</v>
      </c>
      <c r="AK57" s="36">
        <f t="shared" si="27"/>
        <v>0.12</v>
      </c>
      <c r="AL57" s="37">
        <f t="shared" si="28"/>
        <v>1102006.08</v>
      </c>
      <c r="AM57" s="37">
        <f t="shared" si="29"/>
        <v>1173506.8799999999</v>
      </c>
    </row>
    <row r="58" spans="1:39" s="34" customFormat="1" ht="20.100000000000001" customHeight="1" x14ac:dyDescent="0.25">
      <c r="A58" s="41">
        <v>27</v>
      </c>
      <c r="B58" s="38">
        <v>58</v>
      </c>
      <c r="C58" s="47">
        <v>545</v>
      </c>
      <c r="D58" s="48">
        <f t="shared" si="1"/>
        <v>31.61</v>
      </c>
      <c r="E58" s="45">
        <f t="shared" si="9"/>
        <v>36103.240746599178</v>
      </c>
      <c r="F58" s="49">
        <v>0.13900000000000001</v>
      </c>
      <c r="G58" s="45">
        <f t="shared" si="10"/>
        <v>1299853.49816</v>
      </c>
      <c r="H58" s="55">
        <v>580</v>
      </c>
      <c r="I58" s="56">
        <f t="shared" si="2"/>
        <v>33.64</v>
      </c>
      <c r="J58" s="57">
        <f t="shared" si="11"/>
        <v>36125.97621878716</v>
      </c>
      <c r="K58" s="58">
        <v>0.13900000000000001</v>
      </c>
      <c r="L58" s="59">
        <f t="shared" si="12"/>
        <v>1384201.4597600002</v>
      </c>
      <c r="M58" s="37">
        <f t="shared" si="13"/>
        <v>505760</v>
      </c>
      <c r="N58" s="37">
        <f t="shared" si="14"/>
        <v>571880</v>
      </c>
      <c r="O58" s="37">
        <f t="shared" si="15"/>
        <v>171564</v>
      </c>
      <c r="P58" s="37">
        <f t="shared" si="16"/>
        <v>134560</v>
      </c>
      <c r="Q58" s="37">
        <f t="shared" si="3"/>
        <v>2204</v>
      </c>
      <c r="R58" s="37">
        <f t="shared" si="4"/>
        <v>580</v>
      </c>
      <c r="S58" s="37">
        <f t="shared" si="5"/>
        <v>2784</v>
      </c>
      <c r="T58" s="37">
        <f t="shared" si="17"/>
        <v>23548</v>
      </c>
      <c r="U58" s="37">
        <f t="shared" si="18"/>
        <v>16820</v>
      </c>
      <c r="V58" s="37">
        <f t="shared" si="19"/>
        <v>2000</v>
      </c>
      <c r="W58" s="37">
        <f t="shared" si="20"/>
        <v>1500</v>
      </c>
      <c r="X58" s="338">
        <f t="shared" si="31"/>
        <v>40368</v>
      </c>
      <c r="Y58" s="338"/>
      <c r="Z58" s="338"/>
      <c r="AA58" s="338"/>
      <c r="AB58" s="37">
        <f t="shared" si="6"/>
        <v>1885</v>
      </c>
      <c r="AC58" s="37">
        <f t="shared" si="22"/>
        <v>3364</v>
      </c>
      <c r="AD58" s="37">
        <f t="shared" si="7"/>
        <v>27854.499999999996</v>
      </c>
      <c r="AE58" s="37">
        <f t="shared" si="8"/>
        <v>10150</v>
      </c>
      <c r="AF58" s="37">
        <f t="shared" si="30"/>
        <v>11774</v>
      </c>
      <c r="AG58" s="37">
        <f t="shared" si="23"/>
        <v>5046</v>
      </c>
      <c r="AH58" s="37">
        <f t="shared" si="24"/>
        <v>57188</v>
      </c>
      <c r="AI58" s="37">
        <f t="shared" si="25"/>
        <v>1018949.5</v>
      </c>
      <c r="AJ58" s="37">
        <f t="shared" si="26"/>
        <v>1085069.5</v>
      </c>
      <c r="AK58" s="36">
        <f t="shared" si="27"/>
        <v>0.12</v>
      </c>
      <c r="AL58" s="37">
        <f t="shared" si="28"/>
        <v>1141223.44</v>
      </c>
      <c r="AM58" s="37">
        <f t="shared" si="29"/>
        <v>1215277.8400000001</v>
      </c>
    </row>
    <row r="59" spans="1:39" s="34" customFormat="1" ht="20.100000000000001" customHeight="1" x14ac:dyDescent="0.25">
      <c r="A59" s="41">
        <v>28</v>
      </c>
      <c r="B59" s="38">
        <v>60</v>
      </c>
      <c r="C59" s="47">
        <v>545</v>
      </c>
      <c r="D59" s="48">
        <f t="shared" si="1"/>
        <v>32.700000000000003</v>
      </c>
      <c r="E59" s="45">
        <f t="shared" si="9"/>
        <v>36099.107033639142</v>
      </c>
      <c r="F59" s="49">
        <v>0.13900000000000001</v>
      </c>
      <c r="G59" s="45">
        <f t="shared" si="10"/>
        <v>1344522.0712000001</v>
      </c>
      <c r="H59" s="55">
        <v>580</v>
      </c>
      <c r="I59" s="56">
        <f t="shared" si="2"/>
        <v>34.799999999999997</v>
      </c>
      <c r="J59" s="57">
        <f t="shared" si="11"/>
        <v>36122.091954022995</v>
      </c>
      <c r="K59" s="58">
        <v>0.13900000000000001</v>
      </c>
      <c r="L59" s="59">
        <f t="shared" si="12"/>
        <v>1431778.5832000002</v>
      </c>
      <c r="M59" s="37">
        <f t="shared" si="13"/>
        <v>523200.00000000006</v>
      </c>
      <c r="N59" s="37">
        <f t="shared" si="14"/>
        <v>591600</v>
      </c>
      <c r="O59" s="37">
        <f t="shared" si="15"/>
        <v>177479.99999999997</v>
      </c>
      <c r="P59" s="37">
        <f t="shared" si="16"/>
        <v>139200</v>
      </c>
      <c r="Q59" s="37">
        <f t="shared" si="3"/>
        <v>2280</v>
      </c>
      <c r="R59" s="37">
        <f t="shared" si="4"/>
        <v>600</v>
      </c>
      <c r="S59" s="37">
        <f t="shared" si="5"/>
        <v>2880</v>
      </c>
      <c r="T59" s="37">
        <f t="shared" si="17"/>
        <v>24360</v>
      </c>
      <c r="U59" s="37">
        <f t="shared" si="18"/>
        <v>17400</v>
      </c>
      <c r="V59" s="37">
        <f t="shared" si="19"/>
        <v>2000</v>
      </c>
      <c r="W59" s="37">
        <f t="shared" si="20"/>
        <v>1500</v>
      </c>
      <c r="X59" s="338">
        <f t="shared" si="31"/>
        <v>41760</v>
      </c>
      <c r="Y59" s="338"/>
      <c r="Z59" s="338"/>
      <c r="AA59" s="338"/>
      <c r="AB59" s="37">
        <f t="shared" si="6"/>
        <v>1950</v>
      </c>
      <c r="AC59" s="37">
        <f t="shared" si="22"/>
        <v>3479.9999999999995</v>
      </c>
      <c r="AD59" s="37">
        <f t="shared" si="7"/>
        <v>28815</v>
      </c>
      <c r="AE59" s="37">
        <f t="shared" si="8"/>
        <v>10500</v>
      </c>
      <c r="AF59" s="37">
        <f t="shared" si="30"/>
        <v>12179.999999999998</v>
      </c>
      <c r="AG59" s="37">
        <f t="shared" si="23"/>
        <v>5220</v>
      </c>
      <c r="AH59" s="37">
        <f t="shared" si="24"/>
        <v>59159.999999999993</v>
      </c>
      <c r="AI59" s="37">
        <f t="shared" si="25"/>
        <v>1053965</v>
      </c>
      <c r="AJ59" s="37">
        <f t="shared" si="26"/>
        <v>1122365</v>
      </c>
      <c r="AK59" s="36">
        <f t="shared" si="27"/>
        <v>0.12</v>
      </c>
      <c r="AL59" s="37">
        <f t="shared" si="28"/>
        <v>1180440.8</v>
      </c>
      <c r="AM59" s="37">
        <f t="shared" si="29"/>
        <v>1257048.8</v>
      </c>
    </row>
    <row r="60" spans="1:39" s="34" customFormat="1" ht="20.100000000000001" customHeight="1" x14ac:dyDescent="0.25">
      <c r="A60" s="41">
        <v>29</v>
      </c>
      <c r="B60" s="38">
        <v>62</v>
      </c>
      <c r="C60" s="47">
        <v>545</v>
      </c>
      <c r="D60" s="48">
        <f t="shared" si="1"/>
        <v>33.79</v>
      </c>
      <c r="E60" s="45">
        <f t="shared" si="9"/>
        <v>36095.240011837821</v>
      </c>
      <c r="F60" s="49">
        <v>0.13900000000000001</v>
      </c>
      <c r="G60" s="45">
        <f t="shared" si="10"/>
        <v>1389190.6442399998</v>
      </c>
      <c r="H60" s="55">
        <v>580</v>
      </c>
      <c r="I60" s="56">
        <f t="shared" si="2"/>
        <v>35.96</v>
      </c>
      <c r="J60" s="57">
        <f t="shared" si="11"/>
        <v>36118.458286985537</v>
      </c>
      <c r="K60" s="58">
        <v>0.13900000000000001</v>
      </c>
      <c r="L60" s="59">
        <f t="shared" si="12"/>
        <v>1479355.70664</v>
      </c>
      <c r="M60" s="37">
        <f t="shared" si="13"/>
        <v>540640</v>
      </c>
      <c r="N60" s="37">
        <f t="shared" si="14"/>
        <v>611320</v>
      </c>
      <c r="O60" s="37">
        <f t="shared" si="15"/>
        <v>183396</v>
      </c>
      <c r="P60" s="37">
        <f t="shared" si="16"/>
        <v>143840</v>
      </c>
      <c r="Q60" s="37">
        <f t="shared" si="3"/>
        <v>2356</v>
      </c>
      <c r="R60" s="37">
        <f t="shared" si="4"/>
        <v>620</v>
      </c>
      <c r="S60" s="37">
        <f t="shared" si="5"/>
        <v>2976</v>
      </c>
      <c r="T60" s="37">
        <f t="shared" si="17"/>
        <v>25172</v>
      </c>
      <c r="U60" s="37">
        <f t="shared" si="18"/>
        <v>17980</v>
      </c>
      <c r="V60" s="37">
        <f t="shared" si="19"/>
        <v>2000</v>
      </c>
      <c r="W60" s="37">
        <f t="shared" si="20"/>
        <v>1500</v>
      </c>
      <c r="X60" s="338">
        <f t="shared" si="31"/>
        <v>43152</v>
      </c>
      <c r="Y60" s="338"/>
      <c r="Z60" s="338"/>
      <c r="AA60" s="338"/>
      <c r="AB60" s="37">
        <f t="shared" si="6"/>
        <v>2015</v>
      </c>
      <c r="AC60" s="37">
        <f t="shared" si="22"/>
        <v>3596</v>
      </c>
      <c r="AD60" s="37">
        <f t="shared" si="7"/>
        <v>29775.499999999996</v>
      </c>
      <c r="AE60" s="37">
        <f t="shared" si="8"/>
        <v>10850</v>
      </c>
      <c r="AF60" s="37">
        <f t="shared" si="30"/>
        <v>12586</v>
      </c>
      <c r="AG60" s="37">
        <f t="shared" si="23"/>
        <v>5394</v>
      </c>
      <c r="AH60" s="37">
        <f t="shared" si="24"/>
        <v>61132</v>
      </c>
      <c r="AI60" s="37">
        <f t="shared" si="25"/>
        <v>1088980.5</v>
      </c>
      <c r="AJ60" s="37">
        <f t="shared" si="26"/>
        <v>1159660.5</v>
      </c>
      <c r="AK60" s="36">
        <f t="shared" si="27"/>
        <v>0.12</v>
      </c>
      <c r="AL60" s="37">
        <f t="shared" si="28"/>
        <v>1219658.1599999999</v>
      </c>
      <c r="AM60" s="37">
        <f t="shared" si="29"/>
        <v>1298819.76</v>
      </c>
    </row>
    <row r="61" spans="1:39" s="34" customFormat="1" ht="20.100000000000001" customHeight="1" x14ac:dyDescent="0.25">
      <c r="A61" s="41">
        <v>30</v>
      </c>
      <c r="B61" s="38">
        <v>64</v>
      </c>
      <c r="C61" s="47">
        <v>545</v>
      </c>
      <c r="D61" s="48">
        <f t="shared" si="1"/>
        <v>34.880000000000003</v>
      </c>
      <c r="E61" s="45">
        <f t="shared" si="9"/>
        <v>36091.614678899081</v>
      </c>
      <c r="F61" s="49">
        <v>0.13900000000000001</v>
      </c>
      <c r="G61" s="45">
        <f t="shared" si="10"/>
        <v>1433859.21728</v>
      </c>
      <c r="H61" s="55">
        <v>580</v>
      </c>
      <c r="I61" s="56">
        <f t="shared" si="2"/>
        <v>37.119999999999997</v>
      </c>
      <c r="J61" s="57">
        <f t="shared" si="11"/>
        <v>36115.051724137935</v>
      </c>
      <c r="K61" s="58">
        <v>0.13900000000000001</v>
      </c>
      <c r="L61" s="59">
        <f t="shared" si="12"/>
        <v>1526932.8300800002</v>
      </c>
      <c r="M61" s="37">
        <f t="shared" si="13"/>
        <v>558080</v>
      </c>
      <c r="N61" s="37">
        <f t="shared" si="14"/>
        <v>631040</v>
      </c>
      <c r="O61" s="37">
        <f t="shared" si="15"/>
        <v>189311.99999999997</v>
      </c>
      <c r="P61" s="37">
        <f t="shared" si="16"/>
        <v>148480</v>
      </c>
      <c r="Q61" s="37">
        <f t="shared" si="3"/>
        <v>2432</v>
      </c>
      <c r="R61" s="37">
        <f t="shared" si="4"/>
        <v>640</v>
      </c>
      <c r="S61" s="37">
        <f t="shared" si="5"/>
        <v>3072</v>
      </c>
      <c r="T61" s="37">
        <f t="shared" si="17"/>
        <v>25984</v>
      </c>
      <c r="U61" s="37">
        <f t="shared" si="18"/>
        <v>18560</v>
      </c>
      <c r="V61" s="37">
        <f t="shared" si="19"/>
        <v>2000</v>
      </c>
      <c r="W61" s="37">
        <f t="shared" si="20"/>
        <v>1500</v>
      </c>
      <c r="X61" s="338">
        <f t="shared" si="31"/>
        <v>44544</v>
      </c>
      <c r="Y61" s="338"/>
      <c r="Z61" s="338"/>
      <c r="AA61" s="338"/>
      <c r="AB61" s="37">
        <f t="shared" si="6"/>
        <v>2080</v>
      </c>
      <c r="AC61" s="37">
        <f t="shared" si="22"/>
        <v>3711.9999999999995</v>
      </c>
      <c r="AD61" s="37">
        <f t="shared" si="7"/>
        <v>30735.999999999996</v>
      </c>
      <c r="AE61" s="37">
        <f t="shared" si="8"/>
        <v>11200</v>
      </c>
      <c r="AF61" s="37">
        <f t="shared" si="30"/>
        <v>12992</v>
      </c>
      <c r="AG61" s="37">
        <f t="shared" si="23"/>
        <v>5568</v>
      </c>
      <c r="AH61" s="37">
        <f t="shared" si="24"/>
        <v>63103.999999999993</v>
      </c>
      <c r="AI61" s="37">
        <f t="shared" si="25"/>
        <v>1123996</v>
      </c>
      <c r="AJ61" s="37">
        <f t="shared" si="26"/>
        <v>1196956</v>
      </c>
      <c r="AK61" s="36">
        <f t="shared" si="27"/>
        <v>0.12</v>
      </c>
      <c r="AL61" s="37">
        <f t="shared" si="28"/>
        <v>1258875.52</v>
      </c>
      <c r="AM61" s="37">
        <f t="shared" si="29"/>
        <v>1340590.72</v>
      </c>
    </row>
    <row r="62" spans="1:39" s="34" customFormat="1" ht="20.100000000000001" customHeight="1" x14ac:dyDescent="0.25">
      <c r="A62" s="41">
        <v>31</v>
      </c>
      <c r="B62" s="38">
        <v>66</v>
      </c>
      <c r="C62" s="47">
        <v>545</v>
      </c>
      <c r="D62" s="48">
        <f t="shared" si="1"/>
        <v>35.97</v>
      </c>
      <c r="E62" s="45">
        <f t="shared" si="9"/>
        <v>36088.209063108145</v>
      </c>
      <c r="F62" s="49">
        <v>0.13900000000000001</v>
      </c>
      <c r="G62" s="45">
        <f t="shared" si="10"/>
        <v>1478527.7903199999</v>
      </c>
      <c r="H62" s="55">
        <v>580</v>
      </c>
      <c r="I62" s="56">
        <f t="shared" si="2"/>
        <v>38.28</v>
      </c>
      <c r="J62" s="57">
        <f t="shared" si="11"/>
        <v>36111.851619644724</v>
      </c>
      <c r="K62" s="58">
        <v>0.13900000000000001</v>
      </c>
      <c r="L62" s="59">
        <f t="shared" si="12"/>
        <v>1574509.9535200002</v>
      </c>
      <c r="M62" s="37">
        <f t="shared" si="13"/>
        <v>575520</v>
      </c>
      <c r="N62" s="37">
        <f t="shared" si="14"/>
        <v>650760</v>
      </c>
      <c r="O62" s="37">
        <f t="shared" si="15"/>
        <v>195227.99999999997</v>
      </c>
      <c r="P62" s="37">
        <f t="shared" si="16"/>
        <v>153120</v>
      </c>
      <c r="Q62" s="37">
        <f t="shared" si="3"/>
        <v>2508</v>
      </c>
      <c r="R62" s="37">
        <f t="shared" si="4"/>
        <v>660</v>
      </c>
      <c r="S62" s="37">
        <f t="shared" si="5"/>
        <v>3168</v>
      </c>
      <c r="T62" s="37">
        <f t="shared" si="17"/>
        <v>26796</v>
      </c>
      <c r="U62" s="37">
        <f t="shared" si="18"/>
        <v>19140</v>
      </c>
      <c r="V62" s="37">
        <f t="shared" si="19"/>
        <v>2000</v>
      </c>
      <c r="W62" s="37">
        <f t="shared" si="20"/>
        <v>1500</v>
      </c>
      <c r="X62" s="338">
        <f t="shared" si="31"/>
        <v>45936</v>
      </c>
      <c r="Y62" s="338"/>
      <c r="Z62" s="338"/>
      <c r="AA62" s="338"/>
      <c r="AB62" s="37">
        <f t="shared" si="6"/>
        <v>2145</v>
      </c>
      <c r="AC62" s="37">
        <f t="shared" si="22"/>
        <v>3828</v>
      </c>
      <c r="AD62" s="37">
        <f t="shared" si="7"/>
        <v>31696.5</v>
      </c>
      <c r="AE62" s="37">
        <f t="shared" si="8"/>
        <v>11550</v>
      </c>
      <c r="AF62" s="37">
        <f t="shared" si="30"/>
        <v>13398</v>
      </c>
      <c r="AG62" s="37">
        <f t="shared" si="23"/>
        <v>5742</v>
      </c>
      <c r="AH62" s="37">
        <f t="shared" si="24"/>
        <v>65076</v>
      </c>
      <c r="AI62" s="37">
        <f t="shared" si="25"/>
        <v>1159011.5</v>
      </c>
      <c r="AJ62" s="37">
        <f t="shared" si="26"/>
        <v>1234251.5</v>
      </c>
      <c r="AK62" s="36">
        <f t="shared" si="27"/>
        <v>0.12</v>
      </c>
      <c r="AL62" s="37">
        <f t="shared" si="28"/>
        <v>1298092.8799999999</v>
      </c>
      <c r="AM62" s="37">
        <f t="shared" si="29"/>
        <v>1382361.68</v>
      </c>
    </row>
    <row r="63" spans="1:39" s="34" customFormat="1" ht="20.100000000000001" customHeight="1" x14ac:dyDescent="0.25">
      <c r="A63" s="41">
        <v>32</v>
      </c>
      <c r="B63" s="38">
        <v>68</v>
      </c>
      <c r="C63" s="47">
        <v>545</v>
      </c>
      <c r="D63" s="48">
        <f t="shared" si="1"/>
        <v>37.06</v>
      </c>
      <c r="E63" s="45">
        <f t="shared" si="9"/>
        <v>36085.003777657847</v>
      </c>
      <c r="F63" s="49">
        <v>0.13900000000000001</v>
      </c>
      <c r="G63" s="45">
        <f t="shared" si="10"/>
        <v>1523196.3633599998</v>
      </c>
      <c r="H63" s="55">
        <v>580</v>
      </c>
      <c r="I63" s="56">
        <f t="shared" si="2"/>
        <v>39.44</v>
      </c>
      <c r="J63" s="57">
        <f t="shared" si="11"/>
        <v>36108.839756592293</v>
      </c>
      <c r="K63" s="58">
        <v>0.13900000000000001</v>
      </c>
      <c r="L63" s="59">
        <f t="shared" si="12"/>
        <v>1622087.07696</v>
      </c>
      <c r="M63" s="37">
        <f t="shared" si="13"/>
        <v>592960</v>
      </c>
      <c r="N63" s="37">
        <f t="shared" si="14"/>
        <v>670480</v>
      </c>
      <c r="O63" s="37">
        <f t="shared" si="15"/>
        <v>201143.99999999997</v>
      </c>
      <c r="P63" s="37">
        <f t="shared" si="16"/>
        <v>157760</v>
      </c>
      <c r="Q63" s="37">
        <f t="shared" si="3"/>
        <v>2584</v>
      </c>
      <c r="R63" s="37">
        <f t="shared" si="4"/>
        <v>680</v>
      </c>
      <c r="S63" s="37">
        <f t="shared" si="5"/>
        <v>3264</v>
      </c>
      <c r="T63" s="37">
        <f t="shared" si="17"/>
        <v>27608</v>
      </c>
      <c r="U63" s="37">
        <f t="shared" si="18"/>
        <v>19720</v>
      </c>
      <c r="V63" s="37">
        <f t="shared" si="19"/>
        <v>2000</v>
      </c>
      <c r="W63" s="37">
        <f t="shared" si="20"/>
        <v>1500</v>
      </c>
      <c r="X63" s="338">
        <f t="shared" si="31"/>
        <v>47328</v>
      </c>
      <c r="Y63" s="338"/>
      <c r="Z63" s="338"/>
      <c r="AA63" s="338"/>
      <c r="AB63" s="37">
        <f t="shared" si="6"/>
        <v>2210</v>
      </c>
      <c r="AC63" s="37">
        <f t="shared" si="22"/>
        <v>3944</v>
      </c>
      <c r="AD63" s="37">
        <f t="shared" si="7"/>
        <v>32656.999999999996</v>
      </c>
      <c r="AE63" s="37">
        <f t="shared" si="8"/>
        <v>11900</v>
      </c>
      <c r="AF63" s="37">
        <f t="shared" si="30"/>
        <v>13804</v>
      </c>
      <c r="AG63" s="37">
        <f t="shared" si="23"/>
        <v>5916</v>
      </c>
      <c r="AH63" s="37">
        <f t="shared" si="24"/>
        <v>67048</v>
      </c>
      <c r="AI63" s="37">
        <f t="shared" si="25"/>
        <v>1194027</v>
      </c>
      <c r="AJ63" s="37">
        <f t="shared" si="26"/>
        <v>1271547</v>
      </c>
      <c r="AK63" s="36">
        <f t="shared" si="27"/>
        <v>0.12</v>
      </c>
      <c r="AL63" s="37">
        <f t="shared" si="28"/>
        <v>1337310.24</v>
      </c>
      <c r="AM63" s="37">
        <f t="shared" si="29"/>
        <v>1424132.64</v>
      </c>
    </row>
    <row r="64" spans="1:39" s="34" customFormat="1" ht="20.100000000000001" customHeight="1" x14ac:dyDescent="0.25">
      <c r="A64" s="41">
        <v>33</v>
      </c>
      <c r="B64" s="38">
        <v>70</v>
      </c>
      <c r="C64" s="47">
        <v>545</v>
      </c>
      <c r="D64" s="48">
        <f t="shared" ref="D64:D95" si="32">B64*C64/1000</f>
        <v>38.15</v>
      </c>
      <c r="E64" s="45">
        <f t="shared" si="9"/>
        <v>36081.981651376147</v>
      </c>
      <c r="F64" s="49">
        <v>0.13900000000000001</v>
      </c>
      <c r="G64" s="45">
        <f t="shared" si="10"/>
        <v>1567864.9364</v>
      </c>
      <c r="H64" s="55">
        <v>580</v>
      </c>
      <c r="I64" s="56">
        <f t="shared" ref="I64:I95" si="33">B64*H64/1000</f>
        <v>40.6</v>
      </c>
      <c r="J64" s="57">
        <f t="shared" si="11"/>
        <v>36106</v>
      </c>
      <c r="K64" s="58">
        <v>0.13900000000000001</v>
      </c>
      <c r="L64" s="59">
        <f t="shared" si="12"/>
        <v>1669664.2004</v>
      </c>
      <c r="M64" s="37">
        <f t="shared" si="13"/>
        <v>610400</v>
      </c>
      <c r="N64" s="37">
        <f t="shared" si="14"/>
        <v>690200</v>
      </c>
      <c r="O64" s="37">
        <f t="shared" si="15"/>
        <v>207060</v>
      </c>
      <c r="P64" s="37">
        <f t="shared" si="16"/>
        <v>162400</v>
      </c>
      <c r="Q64" s="37">
        <f t="shared" ref="Q64:Q95" si="34">$E$7*B64</f>
        <v>2660</v>
      </c>
      <c r="R64" s="37">
        <f t="shared" ref="R64:R95" si="35">$E$8*B64</f>
        <v>700</v>
      </c>
      <c r="S64" s="37">
        <f t="shared" ref="S64:S95" si="36">$E$9*(B64*4)</f>
        <v>3360</v>
      </c>
      <c r="T64" s="37">
        <f t="shared" si="17"/>
        <v>28420</v>
      </c>
      <c r="U64" s="37">
        <f t="shared" si="18"/>
        <v>20300</v>
      </c>
      <c r="V64" s="37">
        <f t="shared" si="19"/>
        <v>2000</v>
      </c>
      <c r="W64" s="37">
        <f t="shared" si="20"/>
        <v>1500</v>
      </c>
      <c r="X64" s="338">
        <f t="shared" si="31"/>
        <v>48720</v>
      </c>
      <c r="Y64" s="338"/>
      <c r="Z64" s="338"/>
      <c r="AA64" s="338"/>
      <c r="AB64" s="37">
        <f t="shared" ref="AB64:AB95" si="37">$E$20*(B64/2)</f>
        <v>2275</v>
      </c>
      <c r="AC64" s="37">
        <f t="shared" si="22"/>
        <v>4060</v>
      </c>
      <c r="AD64" s="37">
        <f t="shared" ref="AD64:AD95" si="38">$E$22*(B64*1.13)</f>
        <v>33617.5</v>
      </c>
      <c r="AE64" s="37">
        <f t="shared" ref="AE64:AE95" si="39">$E$23*(B64/2)</f>
        <v>12250</v>
      </c>
      <c r="AF64" s="37">
        <f t="shared" si="30"/>
        <v>14210</v>
      </c>
      <c r="AG64" s="37">
        <f t="shared" si="23"/>
        <v>6090</v>
      </c>
      <c r="AH64" s="37">
        <f t="shared" si="24"/>
        <v>69020</v>
      </c>
      <c r="AI64" s="37">
        <f t="shared" si="25"/>
        <v>1229042.5</v>
      </c>
      <c r="AJ64" s="37">
        <f t="shared" si="26"/>
        <v>1308842.5</v>
      </c>
      <c r="AK64" s="36">
        <f t="shared" si="27"/>
        <v>0.12</v>
      </c>
      <c r="AL64" s="37">
        <f t="shared" si="28"/>
        <v>1376527.6</v>
      </c>
      <c r="AM64" s="37">
        <f t="shared" si="29"/>
        <v>1465903.6</v>
      </c>
    </row>
    <row r="65" spans="1:39" s="34" customFormat="1" ht="20.100000000000001" customHeight="1" x14ac:dyDescent="0.25">
      <c r="A65" s="41">
        <v>34</v>
      </c>
      <c r="B65" s="38">
        <v>72</v>
      </c>
      <c r="C65" s="47">
        <v>545</v>
      </c>
      <c r="D65" s="48">
        <f t="shared" si="32"/>
        <v>39.24</v>
      </c>
      <c r="E65" s="45">
        <f t="shared" si="9"/>
        <v>36079.127420998979</v>
      </c>
      <c r="F65" s="49">
        <v>0.13900000000000001</v>
      </c>
      <c r="G65" s="45">
        <f t="shared" si="10"/>
        <v>1612533.5094399999</v>
      </c>
      <c r="H65" s="55">
        <v>580</v>
      </c>
      <c r="I65" s="56">
        <f t="shared" si="33"/>
        <v>41.76</v>
      </c>
      <c r="J65" s="57">
        <f t="shared" si="11"/>
        <v>36103.318007662841</v>
      </c>
      <c r="K65" s="58">
        <v>0.13900000000000001</v>
      </c>
      <c r="L65" s="59">
        <f t="shared" si="12"/>
        <v>1717241.3238400002</v>
      </c>
      <c r="M65" s="37">
        <f t="shared" si="13"/>
        <v>627840</v>
      </c>
      <c r="N65" s="37">
        <f t="shared" si="14"/>
        <v>709920</v>
      </c>
      <c r="O65" s="37">
        <f t="shared" si="15"/>
        <v>212975.99999999997</v>
      </c>
      <c r="P65" s="37">
        <f t="shared" si="16"/>
        <v>167040</v>
      </c>
      <c r="Q65" s="37">
        <f t="shared" si="34"/>
        <v>2736</v>
      </c>
      <c r="R65" s="37">
        <f t="shared" si="35"/>
        <v>720</v>
      </c>
      <c r="S65" s="37">
        <f t="shared" si="36"/>
        <v>3456</v>
      </c>
      <c r="T65" s="37">
        <f t="shared" si="17"/>
        <v>29231.999999999996</v>
      </c>
      <c r="U65" s="37">
        <f t="shared" si="18"/>
        <v>20880</v>
      </c>
      <c r="V65" s="37">
        <f t="shared" si="19"/>
        <v>2000</v>
      </c>
      <c r="W65" s="37">
        <f t="shared" si="20"/>
        <v>1500</v>
      </c>
      <c r="X65" s="338">
        <f t="shared" si="31"/>
        <v>50112</v>
      </c>
      <c r="Y65" s="338"/>
      <c r="Z65" s="338"/>
      <c r="AA65" s="338"/>
      <c r="AB65" s="37">
        <f t="shared" si="37"/>
        <v>2340</v>
      </c>
      <c r="AC65" s="37">
        <f t="shared" si="22"/>
        <v>4176</v>
      </c>
      <c r="AD65" s="37">
        <f t="shared" si="38"/>
        <v>34577.999999999993</v>
      </c>
      <c r="AE65" s="37">
        <f t="shared" si="39"/>
        <v>12600</v>
      </c>
      <c r="AF65" s="37">
        <f t="shared" si="30"/>
        <v>14616</v>
      </c>
      <c r="AG65" s="37">
        <f t="shared" si="23"/>
        <v>6264</v>
      </c>
      <c r="AH65" s="37">
        <f t="shared" si="24"/>
        <v>70992</v>
      </c>
      <c r="AI65" s="37">
        <f t="shared" si="25"/>
        <v>1264058</v>
      </c>
      <c r="AJ65" s="37">
        <f t="shared" si="26"/>
        <v>1346138</v>
      </c>
      <c r="AK65" s="36">
        <f t="shared" si="27"/>
        <v>0.12</v>
      </c>
      <c r="AL65" s="37">
        <f t="shared" si="28"/>
        <v>1415744.96</v>
      </c>
      <c r="AM65" s="37">
        <f t="shared" si="29"/>
        <v>1507674.56</v>
      </c>
    </row>
    <row r="66" spans="1:39" s="34" customFormat="1" ht="20.100000000000001" customHeight="1" x14ac:dyDescent="0.25">
      <c r="A66" s="41">
        <v>35</v>
      </c>
      <c r="B66" s="38">
        <v>74</v>
      </c>
      <c r="C66" s="47">
        <v>545</v>
      </c>
      <c r="D66" s="48">
        <f t="shared" si="32"/>
        <v>40.33</v>
      </c>
      <c r="E66" s="45">
        <f t="shared" si="9"/>
        <v>36076.427473344906</v>
      </c>
      <c r="F66" s="49">
        <v>0.13900000000000001</v>
      </c>
      <c r="G66" s="45">
        <f t="shared" si="10"/>
        <v>1657202.0824800001</v>
      </c>
      <c r="H66" s="55">
        <v>580</v>
      </c>
      <c r="I66" s="56">
        <f t="shared" si="33"/>
        <v>42.92</v>
      </c>
      <c r="J66" s="57">
        <f t="shared" si="11"/>
        <v>36100.780987884435</v>
      </c>
      <c r="K66" s="58">
        <v>0.13900000000000001</v>
      </c>
      <c r="L66" s="59">
        <f t="shared" si="12"/>
        <v>1764818.44728</v>
      </c>
      <c r="M66" s="37">
        <f t="shared" si="13"/>
        <v>645280</v>
      </c>
      <c r="N66" s="37">
        <f t="shared" si="14"/>
        <v>729640</v>
      </c>
      <c r="O66" s="37">
        <f t="shared" si="15"/>
        <v>218892</v>
      </c>
      <c r="P66" s="37">
        <f t="shared" si="16"/>
        <v>171680</v>
      </c>
      <c r="Q66" s="37">
        <f t="shared" si="34"/>
        <v>2812</v>
      </c>
      <c r="R66" s="37">
        <f t="shared" si="35"/>
        <v>740</v>
      </c>
      <c r="S66" s="37">
        <f t="shared" si="36"/>
        <v>3552</v>
      </c>
      <c r="T66" s="37">
        <f t="shared" si="17"/>
        <v>30043.999999999996</v>
      </c>
      <c r="U66" s="37">
        <f t="shared" si="18"/>
        <v>21460</v>
      </c>
      <c r="V66" s="37">
        <f t="shared" si="19"/>
        <v>2000</v>
      </c>
      <c r="W66" s="37">
        <f t="shared" si="20"/>
        <v>1500</v>
      </c>
      <c r="X66" s="338">
        <f t="shared" si="31"/>
        <v>51504</v>
      </c>
      <c r="Y66" s="338"/>
      <c r="Z66" s="338"/>
      <c r="AA66" s="338"/>
      <c r="AB66" s="37">
        <f t="shared" si="37"/>
        <v>2405</v>
      </c>
      <c r="AC66" s="37">
        <f t="shared" si="22"/>
        <v>4292</v>
      </c>
      <c r="AD66" s="37">
        <f t="shared" si="38"/>
        <v>35538.499999999993</v>
      </c>
      <c r="AE66" s="37">
        <f t="shared" si="39"/>
        <v>12950</v>
      </c>
      <c r="AF66" s="37">
        <f t="shared" si="30"/>
        <v>15022</v>
      </c>
      <c r="AG66" s="37">
        <f t="shared" si="23"/>
        <v>6438</v>
      </c>
      <c r="AH66" s="37">
        <f t="shared" si="24"/>
        <v>72964</v>
      </c>
      <c r="AI66" s="37">
        <f t="shared" si="25"/>
        <v>1299073.5</v>
      </c>
      <c r="AJ66" s="37">
        <f t="shared" si="26"/>
        <v>1383433.5</v>
      </c>
      <c r="AK66" s="36">
        <f t="shared" si="27"/>
        <v>0.12</v>
      </c>
      <c r="AL66" s="37">
        <f t="shared" si="28"/>
        <v>1454962.32</v>
      </c>
      <c r="AM66" s="37">
        <f t="shared" si="29"/>
        <v>1549445.52</v>
      </c>
    </row>
    <row r="67" spans="1:39" s="34" customFormat="1" ht="20.100000000000001" customHeight="1" x14ac:dyDescent="0.25">
      <c r="A67" s="41">
        <v>36</v>
      </c>
      <c r="B67" s="38">
        <v>76</v>
      </c>
      <c r="C67" s="47">
        <v>545</v>
      </c>
      <c r="D67" s="48">
        <f t="shared" si="32"/>
        <v>41.42</v>
      </c>
      <c r="E67" s="45">
        <f t="shared" si="9"/>
        <v>36073.869628198932</v>
      </c>
      <c r="F67" s="49">
        <v>0.13900000000000001</v>
      </c>
      <c r="G67" s="45">
        <f t="shared" si="10"/>
        <v>1701870.6555199998</v>
      </c>
      <c r="H67" s="55">
        <v>580</v>
      </c>
      <c r="I67" s="56">
        <f t="shared" si="33"/>
        <v>44.08</v>
      </c>
      <c r="J67" s="57">
        <f t="shared" si="11"/>
        <v>36098.377495462795</v>
      </c>
      <c r="K67" s="58">
        <v>0.13900000000000001</v>
      </c>
      <c r="L67" s="59">
        <f t="shared" si="12"/>
        <v>1812395.57072</v>
      </c>
      <c r="M67" s="37">
        <f t="shared" si="13"/>
        <v>662720</v>
      </c>
      <c r="N67" s="37">
        <f t="shared" si="14"/>
        <v>749360</v>
      </c>
      <c r="O67" s="37">
        <f t="shared" si="15"/>
        <v>224807.99999999997</v>
      </c>
      <c r="P67" s="37">
        <f t="shared" si="16"/>
        <v>176320</v>
      </c>
      <c r="Q67" s="37">
        <f t="shared" si="34"/>
        <v>2888</v>
      </c>
      <c r="R67" s="37">
        <f t="shared" si="35"/>
        <v>760</v>
      </c>
      <c r="S67" s="37">
        <f t="shared" si="36"/>
        <v>3648</v>
      </c>
      <c r="T67" s="37">
        <f t="shared" si="17"/>
        <v>30855.999999999996</v>
      </c>
      <c r="U67" s="37">
        <f t="shared" si="18"/>
        <v>22040</v>
      </c>
      <c r="V67" s="37">
        <f t="shared" si="19"/>
        <v>2000</v>
      </c>
      <c r="W67" s="37">
        <f t="shared" si="20"/>
        <v>1500</v>
      </c>
      <c r="X67" s="338">
        <f t="shared" si="31"/>
        <v>52896</v>
      </c>
      <c r="Y67" s="338"/>
      <c r="Z67" s="338"/>
      <c r="AA67" s="338"/>
      <c r="AB67" s="37">
        <f t="shared" si="37"/>
        <v>2470</v>
      </c>
      <c r="AC67" s="37">
        <f t="shared" si="22"/>
        <v>4408</v>
      </c>
      <c r="AD67" s="37">
        <f t="shared" si="38"/>
        <v>36499</v>
      </c>
      <c r="AE67" s="37">
        <f t="shared" si="39"/>
        <v>13300</v>
      </c>
      <c r="AF67" s="37">
        <f t="shared" si="30"/>
        <v>15428</v>
      </c>
      <c r="AG67" s="37">
        <f t="shared" si="23"/>
        <v>6612</v>
      </c>
      <c r="AH67" s="37">
        <f t="shared" si="24"/>
        <v>74936</v>
      </c>
      <c r="AI67" s="37">
        <f t="shared" si="25"/>
        <v>1334089</v>
      </c>
      <c r="AJ67" s="37">
        <f t="shared" si="26"/>
        <v>1420729</v>
      </c>
      <c r="AK67" s="36">
        <f t="shared" si="27"/>
        <v>0.12</v>
      </c>
      <c r="AL67" s="37">
        <f t="shared" si="28"/>
        <v>1494179.68</v>
      </c>
      <c r="AM67" s="37">
        <f t="shared" si="29"/>
        <v>1591216.48</v>
      </c>
    </row>
    <row r="68" spans="1:39" s="34" customFormat="1" ht="20.100000000000001" customHeight="1" x14ac:dyDescent="0.25">
      <c r="A68" s="41">
        <v>37</v>
      </c>
      <c r="B68" s="38">
        <v>78</v>
      </c>
      <c r="C68" s="47">
        <v>545</v>
      </c>
      <c r="D68" s="48">
        <f t="shared" si="32"/>
        <v>42.51</v>
      </c>
      <c r="E68" s="45">
        <f t="shared" si="9"/>
        <v>36071.442954598919</v>
      </c>
      <c r="F68" s="49">
        <v>0.13900000000000001</v>
      </c>
      <c r="G68" s="45">
        <f t="shared" si="10"/>
        <v>1746539.22856</v>
      </c>
      <c r="H68" s="55">
        <v>580</v>
      </c>
      <c r="I68" s="56">
        <f t="shared" si="33"/>
        <v>45.24</v>
      </c>
      <c r="J68" s="57">
        <f t="shared" si="11"/>
        <v>36096.097259062772</v>
      </c>
      <c r="K68" s="58">
        <v>0.13900000000000001</v>
      </c>
      <c r="L68" s="59">
        <f t="shared" si="12"/>
        <v>1859972.69416</v>
      </c>
      <c r="M68" s="37">
        <f t="shared" si="13"/>
        <v>680160</v>
      </c>
      <c r="N68" s="37">
        <f t="shared" si="14"/>
        <v>769080</v>
      </c>
      <c r="O68" s="37">
        <f t="shared" si="15"/>
        <v>230724</v>
      </c>
      <c r="P68" s="37">
        <f t="shared" si="16"/>
        <v>180960</v>
      </c>
      <c r="Q68" s="37">
        <f t="shared" si="34"/>
        <v>2964</v>
      </c>
      <c r="R68" s="37">
        <f t="shared" si="35"/>
        <v>780</v>
      </c>
      <c r="S68" s="37">
        <f t="shared" si="36"/>
        <v>3744</v>
      </c>
      <c r="T68" s="37">
        <f t="shared" si="17"/>
        <v>31667.999999999996</v>
      </c>
      <c r="U68" s="37">
        <f t="shared" si="18"/>
        <v>22620</v>
      </c>
      <c r="V68" s="37">
        <f t="shared" si="19"/>
        <v>2000</v>
      </c>
      <c r="W68" s="37">
        <f t="shared" si="20"/>
        <v>1500</v>
      </c>
      <c r="X68" s="338">
        <f t="shared" si="31"/>
        <v>54288</v>
      </c>
      <c r="Y68" s="338"/>
      <c r="Z68" s="338"/>
      <c r="AA68" s="338"/>
      <c r="AB68" s="37">
        <f t="shared" si="37"/>
        <v>2535</v>
      </c>
      <c r="AC68" s="37">
        <f t="shared" si="22"/>
        <v>4524</v>
      </c>
      <c r="AD68" s="37">
        <f t="shared" si="38"/>
        <v>37459.499999999993</v>
      </c>
      <c r="AE68" s="37">
        <f t="shared" si="39"/>
        <v>13650</v>
      </c>
      <c r="AF68" s="37">
        <f t="shared" si="30"/>
        <v>15834</v>
      </c>
      <c r="AG68" s="37">
        <f t="shared" si="23"/>
        <v>6786</v>
      </c>
      <c r="AH68" s="37">
        <f t="shared" si="24"/>
        <v>76908</v>
      </c>
      <c r="AI68" s="37">
        <f t="shared" si="25"/>
        <v>1369104.5</v>
      </c>
      <c r="AJ68" s="37">
        <f t="shared" si="26"/>
        <v>1458024.5</v>
      </c>
      <c r="AK68" s="36">
        <f t="shared" si="27"/>
        <v>0.12</v>
      </c>
      <c r="AL68" s="37">
        <f t="shared" si="28"/>
        <v>1533397.04</v>
      </c>
      <c r="AM68" s="37">
        <f t="shared" si="29"/>
        <v>1632987.44</v>
      </c>
    </row>
    <row r="69" spans="1:39" s="34" customFormat="1" ht="20.100000000000001" customHeight="1" x14ac:dyDescent="0.25">
      <c r="A69" s="41">
        <v>38</v>
      </c>
      <c r="B69" s="38">
        <v>80</v>
      </c>
      <c r="C69" s="47">
        <v>545</v>
      </c>
      <c r="D69" s="48">
        <f t="shared" si="32"/>
        <v>43.6</v>
      </c>
      <c r="E69" s="45">
        <f t="shared" si="9"/>
        <v>36069.137614678897</v>
      </c>
      <c r="F69" s="49">
        <v>0.13900000000000001</v>
      </c>
      <c r="G69" s="45">
        <f t="shared" si="10"/>
        <v>1791207.8016000001</v>
      </c>
      <c r="H69" s="55">
        <v>580</v>
      </c>
      <c r="I69" s="56">
        <f t="shared" si="33"/>
        <v>46.4</v>
      </c>
      <c r="J69" s="57">
        <f t="shared" si="11"/>
        <v>36093.931034482761</v>
      </c>
      <c r="K69" s="58">
        <v>0.13900000000000001</v>
      </c>
      <c r="L69" s="59">
        <f t="shared" si="12"/>
        <v>1907549.8176000002</v>
      </c>
      <c r="M69" s="37">
        <f t="shared" si="13"/>
        <v>697600</v>
      </c>
      <c r="N69" s="37">
        <f t="shared" si="14"/>
        <v>788800</v>
      </c>
      <c r="O69" s="37">
        <f t="shared" si="15"/>
        <v>236640</v>
      </c>
      <c r="P69" s="37">
        <f t="shared" si="16"/>
        <v>185600</v>
      </c>
      <c r="Q69" s="37">
        <f t="shared" si="34"/>
        <v>3040</v>
      </c>
      <c r="R69" s="37">
        <f t="shared" si="35"/>
        <v>800</v>
      </c>
      <c r="S69" s="37">
        <f t="shared" si="36"/>
        <v>3840</v>
      </c>
      <c r="T69" s="37">
        <f t="shared" si="17"/>
        <v>32479.999999999996</v>
      </c>
      <c r="U69" s="37">
        <f t="shared" si="18"/>
        <v>23200</v>
      </c>
      <c r="V69" s="37">
        <f t="shared" si="19"/>
        <v>2000</v>
      </c>
      <c r="W69" s="37">
        <f t="shared" si="20"/>
        <v>1500</v>
      </c>
      <c r="X69" s="338">
        <f t="shared" si="31"/>
        <v>55680</v>
      </c>
      <c r="Y69" s="338"/>
      <c r="Z69" s="338"/>
      <c r="AA69" s="338"/>
      <c r="AB69" s="37">
        <f t="shared" si="37"/>
        <v>2600</v>
      </c>
      <c r="AC69" s="37">
        <f t="shared" si="22"/>
        <v>4640</v>
      </c>
      <c r="AD69" s="37">
        <f t="shared" si="38"/>
        <v>38420</v>
      </c>
      <c r="AE69" s="37">
        <f t="shared" si="39"/>
        <v>14000</v>
      </c>
      <c r="AF69" s="37">
        <f t="shared" si="30"/>
        <v>16240</v>
      </c>
      <c r="AG69" s="37">
        <f t="shared" si="23"/>
        <v>6960</v>
      </c>
      <c r="AH69" s="37">
        <f t="shared" si="24"/>
        <v>78880</v>
      </c>
      <c r="AI69" s="37">
        <f t="shared" si="25"/>
        <v>1404120</v>
      </c>
      <c r="AJ69" s="37">
        <f t="shared" si="26"/>
        <v>1495320</v>
      </c>
      <c r="AK69" s="36">
        <f t="shared" si="27"/>
        <v>0.12</v>
      </c>
      <c r="AL69" s="37">
        <f t="shared" si="28"/>
        <v>1572614.4</v>
      </c>
      <c r="AM69" s="37">
        <f t="shared" si="29"/>
        <v>1674758.4</v>
      </c>
    </row>
    <row r="70" spans="1:39" s="34" customFormat="1" ht="20.100000000000001" customHeight="1" x14ac:dyDescent="0.25">
      <c r="A70" s="41">
        <v>39</v>
      </c>
      <c r="B70" s="38">
        <v>82</v>
      </c>
      <c r="C70" s="47">
        <v>545</v>
      </c>
      <c r="D70" s="48">
        <f t="shared" si="32"/>
        <v>44.69</v>
      </c>
      <c r="E70" s="45">
        <f t="shared" si="9"/>
        <v>36066.944730364739</v>
      </c>
      <c r="F70" s="49">
        <v>0.13900000000000001</v>
      </c>
      <c r="G70" s="45">
        <f t="shared" si="10"/>
        <v>1835876.3746400003</v>
      </c>
      <c r="H70" s="55">
        <v>580</v>
      </c>
      <c r="I70" s="56">
        <f t="shared" si="33"/>
        <v>47.56</v>
      </c>
      <c r="J70" s="57">
        <f t="shared" si="11"/>
        <v>36091.870479394442</v>
      </c>
      <c r="K70" s="58">
        <v>0.13900000000000001</v>
      </c>
      <c r="L70" s="59">
        <f t="shared" si="12"/>
        <v>1955126.9410399997</v>
      </c>
      <c r="M70" s="37">
        <f t="shared" si="13"/>
        <v>715040</v>
      </c>
      <c r="N70" s="37">
        <f t="shared" si="14"/>
        <v>808520</v>
      </c>
      <c r="O70" s="37">
        <f t="shared" si="15"/>
        <v>242555.99999999997</v>
      </c>
      <c r="P70" s="37">
        <f t="shared" si="16"/>
        <v>190240</v>
      </c>
      <c r="Q70" s="37">
        <f t="shared" si="34"/>
        <v>3116</v>
      </c>
      <c r="R70" s="37">
        <f t="shared" si="35"/>
        <v>820</v>
      </c>
      <c r="S70" s="37">
        <f t="shared" si="36"/>
        <v>3936</v>
      </c>
      <c r="T70" s="37">
        <f t="shared" si="17"/>
        <v>33292</v>
      </c>
      <c r="U70" s="37">
        <f t="shared" si="18"/>
        <v>23780</v>
      </c>
      <c r="V70" s="37">
        <f t="shared" si="19"/>
        <v>2000</v>
      </c>
      <c r="W70" s="37">
        <f t="shared" si="20"/>
        <v>1500</v>
      </c>
      <c r="X70" s="338">
        <f t="shared" si="31"/>
        <v>57072</v>
      </c>
      <c r="Y70" s="338"/>
      <c r="Z70" s="338"/>
      <c r="AA70" s="338"/>
      <c r="AB70" s="37">
        <f t="shared" si="37"/>
        <v>2665</v>
      </c>
      <c r="AC70" s="37">
        <f t="shared" si="22"/>
        <v>4756</v>
      </c>
      <c r="AD70" s="37">
        <f t="shared" si="38"/>
        <v>39380.5</v>
      </c>
      <c r="AE70" s="37">
        <f t="shared" si="39"/>
        <v>14350</v>
      </c>
      <c r="AF70" s="37">
        <f t="shared" si="30"/>
        <v>16646</v>
      </c>
      <c r="AG70" s="37">
        <f t="shared" si="23"/>
        <v>7134</v>
      </c>
      <c r="AH70" s="37">
        <f t="shared" si="24"/>
        <v>80852</v>
      </c>
      <c r="AI70" s="37">
        <f t="shared" si="25"/>
        <v>1439135.5</v>
      </c>
      <c r="AJ70" s="37">
        <f t="shared" si="26"/>
        <v>1532615.5</v>
      </c>
      <c r="AK70" s="36">
        <f t="shared" si="27"/>
        <v>0.12</v>
      </c>
      <c r="AL70" s="37">
        <f t="shared" si="28"/>
        <v>1611831.76</v>
      </c>
      <c r="AM70" s="37">
        <f t="shared" si="29"/>
        <v>1716529.3599999999</v>
      </c>
    </row>
    <row r="71" spans="1:39" s="34" customFormat="1" ht="20.100000000000001" customHeight="1" x14ac:dyDescent="0.25">
      <c r="A71" s="41">
        <v>40</v>
      </c>
      <c r="B71" s="38">
        <v>84</v>
      </c>
      <c r="C71" s="47">
        <v>545</v>
      </c>
      <c r="D71" s="48">
        <f t="shared" si="32"/>
        <v>45.78</v>
      </c>
      <c r="E71" s="45">
        <f t="shared" si="9"/>
        <v>36064.856269113152</v>
      </c>
      <c r="F71" s="49">
        <v>0.13900000000000001</v>
      </c>
      <c r="G71" s="45">
        <f t="shared" si="10"/>
        <v>1880544.94768</v>
      </c>
      <c r="H71" s="55">
        <v>580</v>
      </c>
      <c r="I71" s="56">
        <f t="shared" si="33"/>
        <v>48.72</v>
      </c>
      <c r="J71" s="57">
        <f t="shared" si="11"/>
        <v>36089.908045977012</v>
      </c>
      <c r="K71" s="58">
        <v>0.13900000000000001</v>
      </c>
      <c r="L71" s="59">
        <f t="shared" si="12"/>
        <v>2002704.0644799999</v>
      </c>
      <c r="M71" s="37">
        <f t="shared" si="13"/>
        <v>732480</v>
      </c>
      <c r="N71" s="37">
        <f t="shared" si="14"/>
        <v>828240</v>
      </c>
      <c r="O71" s="37">
        <f t="shared" si="15"/>
        <v>248471.99999999997</v>
      </c>
      <c r="P71" s="37">
        <f t="shared" si="16"/>
        <v>194880</v>
      </c>
      <c r="Q71" s="37">
        <f t="shared" si="34"/>
        <v>3192</v>
      </c>
      <c r="R71" s="37">
        <f t="shared" si="35"/>
        <v>840</v>
      </c>
      <c r="S71" s="37">
        <f t="shared" si="36"/>
        <v>4032</v>
      </c>
      <c r="T71" s="37">
        <f t="shared" si="17"/>
        <v>34104</v>
      </c>
      <c r="U71" s="37">
        <f t="shared" si="18"/>
        <v>24360</v>
      </c>
      <c r="V71" s="37">
        <f t="shared" si="19"/>
        <v>2000</v>
      </c>
      <c r="W71" s="37">
        <f t="shared" si="20"/>
        <v>1500</v>
      </c>
      <c r="X71" s="338">
        <f t="shared" si="31"/>
        <v>58464</v>
      </c>
      <c r="Y71" s="338"/>
      <c r="Z71" s="338"/>
      <c r="AA71" s="338"/>
      <c r="AB71" s="37">
        <f t="shared" si="37"/>
        <v>2730</v>
      </c>
      <c r="AC71" s="37">
        <f t="shared" si="22"/>
        <v>4872</v>
      </c>
      <c r="AD71" s="37">
        <f t="shared" si="38"/>
        <v>40340.999999999993</v>
      </c>
      <c r="AE71" s="37">
        <f t="shared" si="39"/>
        <v>14700</v>
      </c>
      <c r="AF71" s="37">
        <f t="shared" si="30"/>
        <v>17052</v>
      </c>
      <c r="AG71" s="37">
        <f t="shared" si="23"/>
        <v>7308</v>
      </c>
      <c r="AH71" s="37">
        <f t="shared" si="24"/>
        <v>82824</v>
      </c>
      <c r="AI71" s="37">
        <f t="shared" si="25"/>
        <v>1474151</v>
      </c>
      <c r="AJ71" s="37">
        <f t="shared" si="26"/>
        <v>1569911</v>
      </c>
      <c r="AK71" s="36">
        <f t="shared" si="27"/>
        <v>0.12</v>
      </c>
      <c r="AL71" s="37">
        <f t="shared" si="28"/>
        <v>1651049.12</v>
      </c>
      <c r="AM71" s="37">
        <f t="shared" si="29"/>
        <v>1758300.32</v>
      </c>
    </row>
    <row r="72" spans="1:39" s="34" customFormat="1" ht="20.100000000000001" customHeight="1" x14ac:dyDescent="0.25">
      <c r="A72" s="41">
        <v>41</v>
      </c>
      <c r="B72" s="38">
        <v>86</v>
      </c>
      <c r="C72" s="47">
        <v>545</v>
      </c>
      <c r="D72" s="48">
        <f t="shared" si="32"/>
        <v>46.87</v>
      </c>
      <c r="E72" s="45">
        <f t="shared" si="9"/>
        <v>36062.8649455942</v>
      </c>
      <c r="F72" s="49">
        <v>0.13900000000000001</v>
      </c>
      <c r="G72" s="45">
        <f t="shared" si="10"/>
        <v>1925213.5207199999</v>
      </c>
      <c r="H72" s="55">
        <v>580</v>
      </c>
      <c r="I72" s="56">
        <f t="shared" si="33"/>
        <v>49.88</v>
      </c>
      <c r="J72" s="57">
        <f t="shared" si="11"/>
        <v>36088.036888532479</v>
      </c>
      <c r="K72" s="58">
        <v>0.13900000000000001</v>
      </c>
      <c r="L72" s="59">
        <f t="shared" si="12"/>
        <v>2050281.1879200002</v>
      </c>
      <c r="M72" s="37">
        <f t="shared" si="13"/>
        <v>749920</v>
      </c>
      <c r="N72" s="37">
        <f t="shared" si="14"/>
        <v>847960</v>
      </c>
      <c r="O72" s="37">
        <f t="shared" si="15"/>
        <v>254388</v>
      </c>
      <c r="P72" s="37">
        <f t="shared" si="16"/>
        <v>199520</v>
      </c>
      <c r="Q72" s="37">
        <f t="shared" si="34"/>
        <v>3268</v>
      </c>
      <c r="R72" s="37">
        <f t="shared" si="35"/>
        <v>860</v>
      </c>
      <c r="S72" s="37">
        <f t="shared" si="36"/>
        <v>4128</v>
      </c>
      <c r="T72" s="37">
        <f t="shared" si="17"/>
        <v>34916</v>
      </c>
      <c r="U72" s="37">
        <f t="shared" si="18"/>
        <v>24940</v>
      </c>
      <c r="V72" s="37">
        <f t="shared" si="19"/>
        <v>2000</v>
      </c>
      <c r="W72" s="37">
        <f t="shared" si="20"/>
        <v>1500</v>
      </c>
      <c r="X72" s="338">
        <f t="shared" si="31"/>
        <v>59856</v>
      </c>
      <c r="Y72" s="338"/>
      <c r="Z72" s="338"/>
      <c r="AA72" s="338"/>
      <c r="AB72" s="37">
        <f t="shared" si="37"/>
        <v>2795</v>
      </c>
      <c r="AC72" s="37">
        <f t="shared" si="22"/>
        <v>4988</v>
      </c>
      <c r="AD72" s="37">
        <f t="shared" si="38"/>
        <v>41301.5</v>
      </c>
      <c r="AE72" s="37">
        <f t="shared" si="39"/>
        <v>15050</v>
      </c>
      <c r="AF72" s="37">
        <f t="shared" si="30"/>
        <v>17458</v>
      </c>
      <c r="AG72" s="37">
        <f t="shared" si="23"/>
        <v>7482</v>
      </c>
      <c r="AH72" s="37">
        <f t="shared" si="24"/>
        <v>84796</v>
      </c>
      <c r="AI72" s="37">
        <f t="shared" si="25"/>
        <v>1509166.5</v>
      </c>
      <c r="AJ72" s="37">
        <f t="shared" si="26"/>
        <v>1607206.5</v>
      </c>
      <c r="AK72" s="36">
        <f t="shared" si="27"/>
        <v>0.12</v>
      </c>
      <c r="AL72" s="37">
        <f t="shared" si="28"/>
        <v>1690266.48</v>
      </c>
      <c r="AM72" s="37">
        <f t="shared" si="29"/>
        <v>1800071.28</v>
      </c>
    </row>
    <row r="73" spans="1:39" s="34" customFormat="1" ht="20.100000000000001" customHeight="1" x14ac:dyDescent="0.25">
      <c r="A73" s="41">
        <v>42</v>
      </c>
      <c r="B73" s="38">
        <v>88</v>
      </c>
      <c r="C73" s="47">
        <v>545</v>
      </c>
      <c r="D73" s="48">
        <f t="shared" si="32"/>
        <v>47.96</v>
      </c>
      <c r="E73" s="45">
        <f t="shared" si="9"/>
        <v>36060.964136780654</v>
      </c>
      <c r="F73" s="49">
        <v>0.13900000000000001</v>
      </c>
      <c r="G73" s="45">
        <f t="shared" si="10"/>
        <v>1969882.0937600003</v>
      </c>
      <c r="H73" s="55">
        <v>580</v>
      </c>
      <c r="I73" s="56">
        <f t="shared" si="33"/>
        <v>51.04</v>
      </c>
      <c r="J73" s="57">
        <f t="shared" si="11"/>
        <v>36086.250783699063</v>
      </c>
      <c r="K73" s="58">
        <v>0.13900000000000001</v>
      </c>
      <c r="L73" s="59">
        <f t="shared" si="12"/>
        <v>2097858.3113600002</v>
      </c>
      <c r="M73" s="37">
        <f t="shared" si="13"/>
        <v>767360</v>
      </c>
      <c r="N73" s="37">
        <f t="shared" si="14"/>
        <v>867680</v>
      </c>
      <c r="O73" s="37">
        <f t="shared" si="15"/>
        <v>260303.99999999997</v>
      </c>
      <c r="P73" s="37">
        <f t="shared" si="16"/>
        <v>204160</v>
      </c>
      <c r="Q73" s="37">
        <f t="shared" si="34"/>
        <v>3344</v>
      </c>
      <c r="R73" s="37">
        <f t="shared" si="35"/>
        <v>880</v>
      </c>
      <c r="S73" s="37">
        <f t="shared" si="36"/>
        <v>4224</v>
      </c>
      <c r="T73" s="37">
        <f t="shared" si="17"/>
        <v>35728</v>
      </c>
      <c r="U73" s="37">
        <f t="shared" si="18"/>
        <v>25520</v>
      </c>
      <c r="V73" s="37">
        <f t="shared" si="19"/>
        <v>2000</v>
      </c>
      <c r="W73" s="37">
        <f t="shared" si="20"/>
        <v>1500</v>
      </c>
      <c r="X73" s="338">
        <f t="shared" si="31"/>
        <v>61248</v>
      </c>
      <c r="Y73" s="338"/>
      <c r="Z73" s="338"/>
      <c r="AA73" s="338"/>
      <c r="AB73" s="37">
        <f t="shared" si="37"/>
        <v>2860</v>
      </c>
      <c r="AC73" s="37">
        <f t="shared" si="22"/>
        <v>5104</v>
      </c>
      <c r="AD73" s="37">
        <f t="shared" si="38"/>
        <v>42262</v>
      </c>
      <c r="AE73" s="37">
        <f t="shared" si="39"/>
        <v>15400</v>
      </c>
      <c r="AF73" s="37">
        <f t="shared" si="30"/>
        <v>17864</v>
      </c>
      <c r="AG73" s="37">
        <f t="shared" si="23"/>
        <v>7656</v>
      </c>
      <c r="AH73" s="37">
        <f t="shared" si="24"/>
        <v>86768</v>
      </c>
      <c r="AI73" s="37">
        <f t="shared" si="25"/>
        <v>1544182</v>
      </c>
      <c r="AJ73" s="37">
        <f t="shared" si="26"/>
        <v>1644502</v>
      </c>
      <c r="AK73" s="36">
        <f t="shared" si="27"/>
        <v>0.12</v>
      </c>
      <c r="AL73" s="37">
        <f t="shared" si="28"/>
        <v>1729483.84</v>
      </c>
      <c r="AM73" s="37">
        <f t="shared" si="29"/>
        <v>1841842.24</v>
      </c>
    </row>
    <row r="74" spans="1:39" s="34" customFormat="1" ht="20.100000000000001" customHeight="1" x14ac:dyDescent="0.25">
      <c r="A74" s="41">
        <v>43</v>
      </c>
      <c r="B74" s="38">
        <v>90</v>
      </c>
      <c r="C74" s="47">
        <v>545</v>
      </c>
      <c r="D74" s="48">
        <f t="shared" si="32"/>
        <v>49.05</v>
      </c>
      <c r="E74" s="45">
        <f t="shared" si="9"/>
        <v>36059.147808358815</v>
      </c>
      <c r="F74" s="49">
        <v>0.13900000000000001</v>
      </c>
      <c r="G74" s="45">
        <f t="shared" si="10"/>
        <v>2014550.6667999998</v>
      </c>
      <c r="H74" s="55">
        <v>580</v>
      </c>
      <c r="I74" s="56">
        <f t="shared" si="33"/>
        <v>52.2</v>
      </c>
      <c r="J74" s="57">
        <f t="shared" si="11"/>
        <v>36084.54406130268</v>
      </c>
      <c r="K74" s="58">
        <v>0.13900000000000001</v>
      </c>
      <c r="L74" s="59">
        <f t="shared" si="12"/>
        <v>2145435.4347999999</v>
      </c>
      <c r="M74" s="37">
        <f t="shared" si="13"/>
        <v>784800</v>
      </c>
      <c r="N74" s="37">
        <f t="shared" si="14"/>
        <v>887400</v>
      </c>
      <c r="O74" s="37">
        <f t="shared" si="15"/>
        <v>266219.99999999994</v>
      </c>
      <c r="P74" s="37">
        <f t="shared" si="16"/>
        <v>208800</v>
      </c>
      <c r="Q74" s="37">
        <f t="shared" si="34"/>
        <v>3420</v>
      </c>
      <c r="R74" s="37">
        <f t="shared" si="35"/>
        <v>900</v>
      </c>
      <c r="S74" s="37">
        <f t="shared" si="36"/>
        <v>4320</v>
      </c>
      <c r="T74" s="37">
        <f t="shared" si="17"/>
        <v>36540</v>
      </c>
      <c r="U74" s="37">
        <f t="shared" si="18"/>
        <v>26100</v>
      </c>
      <c r="V74" s="37">
        <f t="shared" si="19"/>
        <v>2000</v>
      </c>
      <c r="W74" s="37">
        <f t="shared" si="20"/>
        <v>1500</v>
      </c>
      <c r="X74" s="338">
        <f t="shared" si="31"/>
        <v>62640</v>
      </c>
      <c r="Y74" s="338"/>
      <c r="Z74" s="338"/>
      <c r="AA74" s="338"/>
      <c r="AB74" s="37">
        <f t="shared" si="37"/>
        <v>2925</v>
      </c>
      <c r="AC74" s="37">
        <f t="shared" si="22"/>
        <v>5220</v>
      </c>
      <c r="AD74" s="37">
        <f t="shared" si="38"/>
        <v>43222.499999999993</v>
      </c>
      <c r="AE74" s="37">
        <f t="shared" si="39"/>
        <v>15750</v>
      </c>
      <c r="AF74" s="37">
        <f t="shared" si="30"/>
        <v>18270</v>
      </c>
      <c r="AG74" s="37">
        <f t="shared" si="23"/>
        <v>7830</v>
      </c>
      <c r="AH74" s="37">
        <f t="shared" si="24"/>
        <v>88740</v>
      </c>
      <c r="AI74" s="37">
        <f t="shared" si="25"/>
        <v>1579197.5</v>
      </c>
      <c r="AJ74" s="37">
        <f t="shared" si="26"/>
        <v>1681797.5</v>
      </c>
      <c r="AK74" s="36">
        <f t="shared" si="27"/>
        <v>0.12</v>
      </c>
      <c r="AL74" s="37">
        <f t="shared" si="28"/>
        <v>1768701.2</v>
      </c>
      <c r="AM74" s="37">
        <f t="shared" si="29"/>
        <v>1883613.2</v>
      </c>
    </row>
    <row r="75" spans="1:39" s="34" customFormat="1" ht="20.100000000000001" customHeight="1" x14ac:dyDescent="0.25">
      <c r="A75" s="41">
        <v>44</v>
      </c>
      <c r="B75" s="38">
        <v>92</v>
      </c>
      <c r="C75" s="47">
        <v>545</v>
      </c>
      <c r="D75" s="48">
        <f t="shared" si="32"/>
        <v>50.14</v>
      </c>
      <c r="E75" s="45">
        <f t="shared" si="9"/>
        <v>36057.410450737938</v>
      </c>
      <c r="F75" s="49">
        <v>0.13900000000000001</v>
      </c>
      <c r="G75" s="45">
        <f t="shared" si="10"/>
        <v>2059219.2398400002</v>
      </c>
      <c r="H75" s="55">
        <v>580</v>
      </c>
      <c r="I75" s="56">
        <f t="shared" si="33"/>
        <v>53.36</v>
      </c>
      <c r="J75" s="57">
        <f t="shared" si="11"/>
        <v>36082.911544227885</v>
      </c>
      <c r="K75" s="58">
        <v>0.13900000000000001</v>
      </c>
      <c r="L75" s="59">
        <f t="shared" si="12"/>
        <v>2193012.5582399997</v>
      </c>
      <c r="M75" s="37">
        <f t="shared" si="13"/>
        <v>802240</v>
      </c>
      <c r="N75" s="37">
        <f t="shared" si="14"/>
        <v>907120</v>
      </c>
      <c r="O75" s="37">
        <f t="shared" si="15"/>
        <v>272135.99999999994</v>
      </c>
      <c r="P75" s="37">
        <f t="shared" si="16"/>
        <v>213440</v>
      </c>
      <c r="Q75" s="37">
        <f t="shared" si="34"/>
        <v>3496</v>
      </c>
      <c r="R75" s="37">
        <f t="shared" si="35"/>
        <v>920</v>
      </c>
      <c r="S75" s="37">
        <f t="shared" si="36"/>
        <v>4416</v>
      </c>
      <c r="T75" s="37">
        <f t="shared" si="17"/>
        <v>37352</v>
      </c>
      <c r="U75" s="37">
        <f t="shared" si="18"/>
        <v>26680</v>
      </c>
      <c r="V75" s="37">
        <f t="shared" si="19"/>
        <v>2000</v>
      </c>
      <c r="W75" s="37">
        <f t="shared" si="20"/>
        <v>1500</v>
      </c>
      <c r="X75" s="338">
        <f t="shared" si="31"/>
        <v>64032</v>
      </c>
      <c r="Y75" s="338"/>
      <c r="Z75" s="338"/>
      <c r="AA75" s="338"/>
      <c r="AB75" s="37">
        <f t="shared" si="37"/>
        <v>2990</v>
      </c>
      <c r="AC75" s="37">
        <f t="shared" si="22"/>
        <v>5336</v>
      </c>
      <c r="AD75" s="37">
        <f t="shared" si="38"/>
        <v>44183</v>
      </c>
      <c r="AE75" s="37">
        <f t="shared" si="39"/>
        <v>16100</v>
      </c>
      <c r="AF75" s="37">
        <f t="shared" si="30"/>
        <v>18676</v>
      </c>
      <c r="AG75" s="37">
        <f t="shared" si="23"/>
        <v>8004</v>
      </c>
      <c r="AH75" s="37">
        <f t="shared" si="24"/>
        <v>90712</v>
      </c>
      <c r="AI75" s="37">
        <f t="shared" si="25"/>
        <v>1614213</v>
      </c>
      <c r="AJ75" s="37">
        <f t="shared" si="26"/>
        <v>1719093</v>
      </c>
      <c r="AK75" s="36">
        <f t="shared" si="27"/>
        <v>0.12</v>
      </c>
      <c r="AL75" s="37">
        <f t="shared" si="28"/>
        <v>1807918.56</v>
      </c>
      <c r="AM75" s="37">
        <f t="shared" si="29"/>
        <v>1925384.16</v>
      </c>
    </row>
    <row r="76" spans="1:39" s="34" customFormat="1" ht="20.100000000000001" customHeight="1" x14ac:dyDescent="0.25">
      <c r="A76" s="41">
        <v>45</v>
      </c>
      <c r="B76" s="38">
        <v>94</v>
      </c>
      <c r="C76" s="47">
        <v>545</v>
      </c>
      <c r="D76" s="48">
        <f t="shared" si="32"/>
        <v>51.23</v>
      </c>
      <c r="E76" s="45">
        <f t="shared" si="9"/>
        <v>36055.747023228578</v>
      </c>
      <c r="F76" s="49">
        <v>0.13900000000000001</v>
      </c>
      <c r="G76" s="45">
        <f t="shared" si="10"/>
        <v>2103887.8128800001</v>
      </c>
      <c r="H76" s="55">
        <v>580</v>
      </c>
      <c r="I76" s="56">
        <f t="shared" si="33"/>
        <v>54.52</v>
      </c>
      <c r="J76" s="57">
        <f t="shared" si="11"/>
        <v>36081.348495964783</v>
      </c>
      <c r="K76" s="58">
        <v>0.13900000000000001</v>
      </c>
      <c r="L76" s="59">
        <f t="shared" si="12"/>
        <v>2240589.6816799999</v>
      </c>
      <c r="M76" s="37">
        <f t="shared" si="13"/>
        <v>819680</v>
      </c>
      <c r="N76" s="37">
        <f t="shared" si="14"/>
        <v>926840</v>
      </c>
      <c r="O76" s="37">
        <f t="shared" si="15"/>
        <v>278052</v>
      </c>
      <c r="P76" s="37">
        <f t="shared" si="16"/>
        <v>218080</v>
      </c>
      <c r="Q76" s="37">
        <f t="shared" si="34"/>
        <v>3572</v>
      </c>
      <c r="R76" s="37">
        <f t="shared" si="35"/>
        <v>940</v>
      </c>
      <c r="S76" s="37">
        <f t="shared" si="36"/>
        <v>4512</v>
      </c>
      <c r="T76" s="37">
        <f t="shared" si="17"/>
        <v>38164</v>
      </c>
      <c r="U76" s="37">
        <f t="shared" si="18"/>
        <v>27260</v>
      </c>
      <c r="V76" s="37">
        <f t="shared" si="19"/>
        <v>2000</v>
      </c>
      <c r="W76" s="37">
        <f t="shared" si="20"/>
        <v>1500</v>
      </c>
      <c r="X76" s="338">
        <f t="shared" si="31"/>
        <v>65424.000000000007</v>
      </c>
      <c r="Y76" s="338"/>
      <c r="Z76" s="338"/>
      <c r="AA76" s="338"/>
      <c r="AB76" s="37">
        <f t="shared" si="37"/>
        <v>3055</v>
      </c>
      <c r="AC76" s="37">
        <f t="shared" si="22"/>
        <v>5452</v>
      </c>
      <c r="AD76" s="37">
        <f t="shared" si="38"/>
        <v>45143.499999999993</v>
      </c>
      <c r="AE76" s="37">
        <f t="shared" si="39"/>
        <v>16450</v>
      </c>
      <c r="AF76" s="37">
        <f t="shared" si="30"/>
        <v>19082</v>
      </c>
      <c r="AG76" s="37">
        <f t="shared" si="23"/>
        <v>8178.0000000000009</v>
      </c>
      <c r="AH76" s="37">
        <f t="shared" si="24"/>
        <v>92684</v>
      </c>
      <c r="AI76" s="37">
        <f t="shared" si="25"/>
        <v>1649228.5</v>
      </c>
      <c r="AJ76" s="37">
        <f t="shared" si="26"/>
        <v>1756388.5</v>
      </c>
      <c r="AK76" s="36">
        <f t="shared" si="27"/>
        <v>0.12</v>
      </c>
      <c r="AL76" s="37">
        <f t="shared" si="28"/>
        <v>1847135.92</v>
      </c>
      <c r="AM76" s="37">
        <f t="shared" si="29"/>
        <v>1967155.12</v>
      </c>
    </row>
    <row r="77" spans="1:39" s="34" customFormat="1" ht="20.100000000000001" customHeight="1" x14ac:dyDescent="0.25">
      <c r="A77" s="41">
        <v>46</v>
      </c>
      <c r="B77" s="38">
        <v>96</v>
      </c>
      <c r="C77" s="47">
        <v>545</v>
      </c>
      <c r="D77" s="48">
        <f t="shared" si="32"/>
        <v>52.32</v>
      </c>
      <c r="E77" s="45">
        <f t="shared" si="9"/>
        <v>36054.152905198775</v>
      </c>
      <c r="F77" s="49">
        <v>0.13900000000000001</v>
      </c>
      <c r="G77" s="45">
        <f t="shared" si="10"/>
        <v>2148556.3859199998</v>
      </c>
      <c r="H77" s="55">
        <v>580</v>
      </c>
      <c r="I77" s="56">
        <f t="shared" si="33"/>
        <v>55.68</v>
      </c>
      <c r="J77" s="57">
        <f t="shared" si="11"/>
        <v>36079.850574712647</v>
      </c>
      <c r="K77" s="58">
        <v>0.13900000000000001</v>
      </c>
      <c r="L77" s="59">
        <f t="shared" si="12"/>
        <v>2288166.8051200006</v>
      </c>
      <c r="M77" s="37">
        <f t="shared" si="13"/>
        <v>837120</v>
      </c>
      <c r="N77" s="37">
        <f t="shared" si="14"/>
        <v>946560</v>
      </c>
      <c r="O77" s="37">
        <f t="shared" si="15"/>
        <v>283967.99999999994</v>
      </c>
      <c r="P77" s="37">
        <f t="shared" si="16"/>
        <v>222720</v>
      </c>
      <c r="Q77" s="37">
        <f t="shared" si="34"/>
        <v>3648</v>
      </c>
      <c r="R77" s="37">
        <f t="shared" si="35"/>
        <v>960</v>
      </c>
      <c r="S77" s="37">
        <f t="shared" si="36"/>
        <v>4608</v>
      </c>
      <c r="T77" s="37">
        <f t="shared" si="17"/>
        <v>38976</v>
      </c>
      <c r="U77" s="37">
        <f t="shared" si="18"/>
        <v>27840</v>
      </c>
      <c r="V77" s="37">
        <f t="shared" si="19"/>
        <v>2000</v>
      </c>
      <c r="W77" s="37">
        <f t="shared" si="20"/>
        <v>1500</v>
      </c>
      <c r="X77" s="338">
        <f t="shared" si="31"/>
        <v>66816</v>
      </c>
      <c r="Y77" s="338"/>
      <c r="Z77" s="338"/>
      <c r="AA77" s="338"/>
      <c r="AB77" s="37">
        <f t="shared" si="37"/>
        <v>3120</v>
      </c>
      <c r="AC77" s="37">
        <f t="shared" si="22"/>
        <v>5568</v>
      </c>
      <c r="AD77" s="37">
        <f t="shared" si="38"/>
        <v>46103.999999999993</v>
      </c>
      <c r="AE77" s="37">
        <f t="shared" si="39"/>
        <v>16800</v>
      </c>
      <c r="AF77" s="37">
        <f t="shared" si="30"/>
        <v>19488</v>
      </c>
      <c r="AG77" s="37">
        <f t="shared" si="23"/>
        <v>8352</v>
      </c>
      <c r="AH77" s="37">
        <f t="shared" si="24"/>
        <v>94656</v>
      </c>
      <c r="AI77" s="37">
        <f t="shared" si="25"/>
        <v>1684244</v>
      </c>
      <c r="AJ77" s="37">
        <f t="shared" si="26"/>
        <v>1793684</v>
      </c>
      <c r="AK77" s="36">
        <f t="shared" si="27"/>
        <v>0.12</v>
      </c>
      <c r="AL77" s="37">
        <f t="shared" si="28"/>
        <v>1886353.28</v>
      </c>
      <c r="AM77" s="37">
        <f t="shared" si="29"/>
        <v>2008926.08</v>
      </c>
    </row>
    <row r="78" spans="1:39" s="34" customFormat="1" ht="20.100000000000001" customHeight="1" x14ac:dyDescent="0.25">
      <c r="A78" s="41">
        <v>47</v>
      </c>
      <c r="B78" s="38">
        <v>98</v>
      </c>
      <c r="C78" s="47">
        <v>545</v>
      </c>
      <c r="D78" s="48">
        <f t="shared" si="32"/>
        <v>53.41</v>
      </c>
      <c r="E78" s="45">
        <f t="shared" si="9"/>
        <v>36052.623853211007</v>
      </c>
      <c r="F78" s="49">
        <v>0.13900000000000001</v>
      </c>
      <c r="G78" s="45">
        <f t="shared" si="10"/>
        <v>2193224.95896</v>
      </c>
      <c r="H78" s="55">
        <v>580</v>
      </c>
      <c r="I78" s="56">
        <f t="shared" si="33"/>
        <v>56.84</v>
      </c>
      <c r="J78" s="57">
        <f t="shared" si="11"/>
        <v>36078.413793103449</v>
      </c>
      <c r="K78" s="58">
        <v>0.13900000000000001</v>
      </c>
      <c r="L78" s="59">
        <f t="shared" si="12"/>
        <v>2335743.9285599999</v>
      </c>
      <c r="M78" s="37">
        <f t="shared" si="13"/>
        <v>854560</v>
      </c>
      <c r="N78" s="37">
        <f t="shared" si="14"/>
        <v>966280</v>
      </c>
      <c r="O78" s="37">
        <f t="shared" si="15"/>
        <v>289884</v>
      </c>
      <c r="P78" s="37">
        <f t="shared" si="16"/>
        <v>227360</v>
      </c>
      <c r="Q78" s="37">
        <f t="shared" si="34"/>
        <v>3724</v>
      </c>
      <c r="R78" s="37">
        <f t="shared" si="35"/>
        <v>980</v>
      </c>
      <c r="S78" s="37">
        <f t="shared" si="36"/>
        <v>4704</v>
      </c>
      <c r="T78" s="37">
        <f t="shared" si="17"/>
        <v>39788</v>
      </c>
      <c r="U78" s="37">
        <f t="shared" si="18"/>
        <v>28420</v>
      </c>
      <c r="V78" s="37">
        <f t="shared" si="19"/>
        <v>2000</v>
      </c>
      <c r="W78" s="37">
        <f t="shared" si="20"/>
        <v>1500</v>
      </c>
      <c r="X78" s="338">
        <f t="shared" si="31"/>
        <v>68208</v>
      </c>
      <c r="Y78" s="338"/>
      <c r="Z78" s="338"/>
      <c r="AA78" s="338"/>
      <c r="AB78" s="37">
        <f t="shared" si="37"/>
        <v>3185</v>
      </c>
      <c r="AC78" s="37">
        <f t="shared" si="22"/>
        <v>5684</v>
      </c>
      <c r="AD78" s="37">
        <f t="shared" si="38"/>
        <v>47064.5</v>
      </c>
      <c r="AE78" s="37">
        <f t="shared" si="39"/>
        <v>17150</v>
      </c>
      <c r="AF78" s="37">
        <f t="shared" si="30"/>
        <v>19894</v>
      </c>
      <c r="AG78" s="37">
        <f t="shared" si="23"/>
        <v>8526</v>
      </c>
      <c r="AH78" s="37">
        <f t="shared" si="24"/>
        <v>96628</v>
      </c>
      <c r="AI78" s="37">
        <f t="shared" si="25"/>
        <v>1719259.5</v>
      </c>
      <c r="AJ78" s="37">
        <f t="shared" si="26"/>
        <v>1830979.5</v>
      </c>
      <c r="AK78" s="36">
        <f t="shared" si="27"/>
        <v>0.12</v>
      </c>
      <c r="AL78" s="37">
        <f t="shared" si="28"/>
        <v>1925570.64</v>
      </c>
      <c r="AM78" s="37">
        <f t="shared" si="29"/>
        <v>2050697.04</v>
      </c>
    </row>
    <row r="79" spans="1:39" s="34" customFormat="1" ht="20.100000000000001" customHeight="1" x14ac:dyDescent="0.25">
      <c r="A79" s="41">
        <v>48</v>
      </c>
      <c r="B79" s="38">
        <v>100</v>
      </c>
      <c r="C79" s="47">
        <v>545</v>
      </c>
      <c r="D79" s="48">
        <f t="shared" si="32"/>
        <v>54.5</v>
      </c>
      <c r="E79" s="45">
        <f t="shared" si="9"/>
        <v>36051.15596330275</v>
      </c>
      <c r="F79" s="49">
        <v>0.13900000000000001</v>
      </c>
      <c r="G79" s="45">
        <f t="shared" si="10"/>
        <v>2237893.5319999997</v>
      </c>
      <c r="H79" s="55">
        <v>580</v>
      </c>
      <c r="I79" s="56">
        <f t="shared" si="33"/>
        <v>58</v>
      </c>
      <c r="J79" s="57">
        <f t="shared" si="11"/>
        <v>36077.034482758623</v>
      </c>
      <c r="K79" s="58">
        <v>0.13900000000000001</v>
      </c>
      <c r="L79" s="59">
        <f t="shared" si="12"/>
        <v>2383321.0520000001</v>
      </c>
      <c r="M79" s="37">
        <f t="shared" si="13"/>
        <v>872000</v>
      </c>
      <c r="N79" s="37">
        <f t="shared" si="14"/>
        <v>986000</v>
      </c>
      <c r="O79" s="37">
        <f t="shared" si="15"/>
        <v>295799.99999999994</v>
      </c>
      <c r="P79" s="37">
        <f t="shared" si="16"/>
        <v>232000</v>
      </c>
      <c r="Q79" s="37">
        <f t="shared" si="34"/>
        <v>3800</v>
      </c>
      <c r="R79" s="37">
        <f t="shared" si="35"/>
        <v>1000</v>
      </c>
      <c r="S79" s="37">
        <f t="shared" si="36"/>
        <v>4800</v>
      </c>
      <c r="T79" s="37">
        <f t="shared" si="17"/>
        <v>40600</v>
      </c>
      <c r="U79" s="37">
        <f t="shared" si="18"/>
        <v>29000</v>
      </c>
      <c r="V79" s="37">
        <f t="shared" si="19"/>
        <v>2000</v>
      </c>
      <c r="W79" s="37">
        <f t="shared" si="20"/>
        <v>1500</v>
      </c>
      <c r="X79" s="338">
        <f t="shared" si="31"/>
        <v>69600</v>
      </c>
      <c r="Y79" s="338"/>
      <c r="Z79" s="338"/>
      <c r="AA79" s="338"/>
      <c r="AB79" s="37">
        <f t="shared" si="37"/>
        <v>3250</v>
      </c>
      <c r="AC79" s="37">
        <f t="shared" si="22"/>
        <v>5800</v>
      </c>
      <c r="AD79" s="37">
        <f t="shared" si="38"/>
        <v>48024.999999999993</v>
      </c>
      <c r="AE79" s="37">
        <f t="shared" si="39"/>
        <v>17500</v>
      </c>
      <c r="AF79" s="37">
        <f t="shared" si="30"/>
        <v>20300</v>
      </c>
      <c r="AG79" s="37">
        <f t="shared" si="23"/>
        <v>8700</v>
      </c>
      <c r="AH79" s="37">
        <f t="shared" si="24"/>
        <v>98600</v>
      </c>
      <c r="AI79" s="37">
        <f t="shared" si="25"/>
        <v>1754275</v>
      </c>
      <c r="AJ79" s="37">
        <f t="shared" si="26"/>
        <v>1868275</v>
      </c>
      <c r="AK79" s="36">
        <f t="shared" si="27"/>
        <v>0.12</v>
      </c>
      <c r="AL79" s="37">
        <f t="shared" si="28"/>
        <v>1964788</v>
      </c>
      <c r="AM79" s="37">
        <f t="shared" si="29"/>
        <v>2092468</v>
      </c>
    </row>
    <row r="80" spans="1:39" s="34" customFormat="1" ht="20.100000000000001" customHeight="1" x14ac:dyDescent="0.25">
      <c r="A80" s="41">
        <v>49</v>
      </c>
      <c r="B80" s="38">
        <v>102</v>
      </c>
      <c r="C80" s="47">
        <v>545</v>
      </c>
      <c r="D80" s="48">
        <f t="shared" si="32"/>
        <v>55.59</v>
      </c>
      <c r="E80" s="45">
        <f t="shared" si="9"/>
        <v>36049.745637704618</v>
      </c>
      <c r="F80" s="49">
        <v>0.13900000000000001</v>
      </c>
      <c r="G80" s="45">
        <f t="shared" si="10"/>
        <v>2282562.1050399998</v>
      </c>
      <c r="H80" s="55">
        <v>580</v>
      </c>
      <c r="I80" s="56">
        <f t="shared" si="33"/>
        <v>59.16</v>
      </c>
      <c r="J80" s="57">
        <f t="shared" si="11"/>
        <v>36075.709263015553</v>
      </c>
      <c r="K80" s="58">
        <v>0.13900000000000001</v>
      </c>
      <c r="L80" s="59">
        <f t="shared" si="12"/>
        <v>2430898.1754399999</v>
      </c>
      <c r="M80" s="37">
        <f t="shared" si="13"/>
        <v>889440</v>
      </c>
      <c r="N80" s="37">
        <f t="shared" si="14"/>
        <v>1005720</v>
      </c>
      <c r="O80" s="37">
        <f t="shared" si="15"/>
        <v>301715.99999999994</v>
      </c>
      <c r="P80" s="37">
        <f t="shared" si="16"/>
        <v>236640</v>
      </c>
      <c r="Q80" s="37">
        <f t="shared" si="34"/>
        <v>3876</v>
      </c>
      <c r="R80" s="37">
        <f t="shared" si="35"/>
        <v>1020</v>
      </c>
      <c r="S80" s="37">
        <f t="shared" si="36"/>
        <v>4896</v>
      </c>
      <c r="T80" s="37">
        <f t="shared" si="17"/>
        <v>41412</v>
      </c>
      <c r="U80" s="37">
        <f t="shared" si="18"/>
        <v>29580</v>
      </c>
      <c r="V80" s="37">
        <f t="shared" si="19"/>
        <v>2000</v>
      </c>
      <c r="W80" s="37">
        <f t="shared" si="20"/>
        <v>1500</v>
      </c>
      <c r="X80" s="338">
        <f t="shared" si="31"/>
        <v>70992</v>
      </c>
      <c r="Y80" s="338"/>
      <c r="Z80" s="338"/>
      <c r="AA80" s="338"/>
      <c r="AB80" s="37">
        <f t="shared" si="37"/>
        <v>3315</v>
      </c>
      <c r="AC80" s="37">
        <f t="shared" si="22"/>
        <v>5916</v>
      </c>
      <c r="AD80" s="37">
        <f t="shared" si="38"/>
        <v>48985.499999999993</v>
      </c>
      <c r="AE80" s="37">
        <f t="shared" si="39"/>
        <v>17850</v>
      </c>
      <c r="AF80" s="37">
        <f t="shared" si="30"/>
        <v>20706</v>
      </c>
      <c r="AG80" s="37">
        <f t="shared" si="23"/>
        <v>8874</v>
      </c>
      <c r="AH80" s="37">
        <f t="shared" si="24"/>
        <v>100572</v>
      </c>
      <c r="AI80" s="37">
        <f t="shared" si="25"/>
        <v>1789290.5</v>
      </c>
      <c r="AJ80" s="37">
        <f t="shared" si="26"/>
        <v>1905570.5</v>
      </c>
      <c r="AK80" s="36">
        <f t="shared" si="27"/>
        <v>0.12</v>
      </c>
      <c r="AL80" s="37">
        <f t="shared" si="28"/>
        <v>2004005.3599999999</v>
      </c>
      <c r="AM80" s="37">
        <f t="shared" si="29"/>
        <v>2134238.96</v>
      </c>
    </row>
    <row r="81" spans="1:39" s="34" customFormat="1" ht="20.100000000000001" customHeight="1" x14ac:dyDescent="0.25">
      <c r="A81" s="41">
        <v>50</v>
      </c>
      <c r="B81" s="38">
        <v>104</v>
      </c>
      <c r="C81" s="47">
        <v>545</v>
      </c>
      <c r="D81" s="48">
        <f t="shared" si="32"/>
        <v>56.68</v>
      </c>
      <c r="E81" s="45">
        <f t="shared" si="9"/>
        <v>36048.389555398731</v>
      </c>
      <c r="F81" s="49">
        <v>0.13900000000000001</v>
      </c>
      <c r="G81" s="45">
        <f t="shared" si="10"/>
        <v>2327230.67808</v>
      </c>
      <c r="H81" s="55">
        <v>580</v>
      </c>
      <c r="I81" s="56">
        <f t="shared" si="33"/>
        <v>60.32</v>
      </c>
      <c r="J81" s="57">
        <f t="shared" si="11"/>
        <v>36074.435013262599</v>
      </c>
      <c r="K81" s="58">
        <v>0.13900000000000001</v>
      </c>
      <c r="L81" s="59">
        <f t="shared" si="12"/>
        <v>2478475.2988800001</v>
      </c>
      <c r="M81" s="37">
        <f t="shared" si="13"/>
        <v>906880</v>
      </c>
      <c r="N81" s="37">
        <f t="shared" si="14"/>
        <v>1025440</v>
      </c>
      <c r="O81" s="37">
        <f t="shared" si="15"/>
        <v>307632</v>
      </c>
      <c r="P81" s="37">
        <f t="shared" si="16"/>
        <v>241280</v>
      </c>
      <c r="Q81" s="37">
        <f t="shared" si="34"/>
        <v>3952</v>
      </c>
      <c r="R81" s="37">
        <f t="shared" si="35"/>
        <v>1040</v>
      </c>
      <c r="S81" s="37">
        <f t="shared" si="36"/>
        <v>4992</v>
      </c>
      <c r="T81" s="37">
        <f t="shared" si="17"/>
        <v>42224</v>
      </c>
      <c r="U81" s="37">
        <f t="shared" si="18"/>
        <v>30160</v>
      </c>
      <c r="V81" s="37">
        <f t="shared" si="19"/>
        <v>2000</v>
      </c>
      <c r="W81" s="37">
        <f t="shared" si="20"/>
        <v>1500</v>
      </c>
      <c r="X81" s="338">
        <f t="shared" si="31"/>
        <v>72384</v>
      </c>
      <c r="Y81" s="338"/>
      <c r="Z81" s="338"/>
      <c r="AA81" s="338"/>
      <c r="AB81" s="37">
        <f t="shared" si="37"/>
        <v>3380</v>
      </c>
      <c r="AC81" s="37">
        <f t="shared" si="22"/>
        <v>6032</v>
      </c>
      <c r="AD81" s="37">
        <f t="shared" si="38"/>
        <v>49945.999999999993</v>
      </c>
      <c r="AE81" s="37">
        <f t="shared" si="39"/>
        <v>18200</v>
      </c>
      <c r="AF81" s="37">
        <f t="shared" si="30"/>
        <v>21112</v>
      </c>
      <c r="AG81" s="37">
        <f t="shared" si="23"/>
        <v>9048</v>
      </c>
      <c r="AH81" s="37">
        <f t="shared" si="24"/>
        <v>102544</v>
      </c>
      <c r="AI81" s="37">
        <f t="shared" si="25"/>
        <v>1824306</v>
      </c>
      <c r="AJ81" s="37">
        <f t="shared" si="26"/>
        <v>1942866</v>
      </c>
      <c r="AK81" s="36">
        <f t="shared" si="27"/>
        <v>0.12</v>
      </c>
      <c r="AL81" s="37">
        <f t="shared" si="28"/>
        <v>2043222.72</v>
      </c>
      <c r="AM81" s="37">
        <f t="shared" si="29"/>
        <v>2176009.92</v>
      </c>
    </row>
    <row r="82" spans="1:39" s="34" customFormat="1" ht="20.100000000000001" customHeight="1" x14ac:dyDescent="0.25">
      <c r="A82" s="41">
        <v>51</v>
      </c>
      <c r="B82" s="38">
        <v>106</v>
      </c>
      <c r="C82" s="47">
        <v>545</v>
      </c>
      <c r="D82" s="48">
        <f t="shared" si="32"/>
        <v>57.77</v>
      </c>
      <c r="E82" s="45">
        <f t="shared" si="9"/>
        <v>36047.084646010037</v>
      </c>
      <c r="F82" s="49">
        <v>0.13900000000000001</v>
      </c>
      <c r="G82" s="45">
        <f t="shared" si="10"/>
        <v>2371899.2511200001</v>
      </c>
      <c r="H82" s="55">
        <v>580</v>
      </c>
      <c r="I82" s="56">
        <f t="shared" si="33"/>
        <v>61.48</v>
      </c>
      <c r="J82" s="57">
        <f t="shared" si="11"/>
        <v>36073.208848405986</v>
      </c>
      <c r="K82" s="58">
        <v>0.13900000000000001</v>
      </c>
      <c r="L82" s="59">
        <f t="shared" si="12"/>
        <v>2526052.4223199999</v>
      </c>
      <c r="M82" s="37">
        <f t="shared" si="13"/>
        <v>924320</v>
      </c>
      <c r="N82" s="37">
        <f t="shared" si="14"/>
        <v>1045160</v>
      </c>
      <c r="O82" s="37">
        <f t="shared" si="15"/>
        <v>313547.99999999994</v>
      </c>
      <c r="P82" s="37">
        <f t="shared" si="16"/>
        <v>245920</v>
      </c>
      <c r="Q82" s="37">
        <f t="shared" si="34"/>
        <v>4028</v>
      </c>
      <c r="R82" s="37">
        <f t="shared" si="35"/>
        <v>1060</v>
      </c>
      <c r="S82" s="37">
        <f t="shared" si="36"/>
        <v>5088</v>
      </c>
      <c r="T82" s="37">
        <f t="shared" si="17"/>
        <v>43036</v>
      </c>
      <c r="U82" s="37">
        <f t="shared" si="18"/>
        <v>30740</v>
      </c>
      <c r="V82" s="37">
        <f t="shared" si="19"/>
        <v>2000</v>
      </c>
      <c r="W82" s="37">
        <f t="shared" si="20"/>
        <v>1500</v>
      </c>
      <c r="X82" s="338">
        <f t="shared" si="31"/>
        <v>73776</v>
      </c>
      <c r="Y82" s="338"/>
      <c r="Z82" s="338"/>
      <c r="AA82" s="338"/>
      <c r="AB82" s="37">
        <f t="shared" si="37"/>
        <v>3445</v>
      </c>
      <c r="AC82" s="37">
        <f t="shared" si="22"/>
        <v>6148</v>
      </c>
      <c r="AD82" s="37">
        <f t="shared" si="38"/>
        <v>50906.499999999993</v>
      </c>
      <c r="AE82" s="37">
        <f t="shared" si="39"/>
        <v>18550</v>
      </c>
      <c r="AF82" s="37">
        <f t="shared" si="30"/>
        <v>21518</v>
      </c>
      <c r="AG82" s="37">
        <f t="shared" si="23"/>
        <v>9222</v>
      </c>
      <c r="AH82" s="37">
        <f t="shared" si="24"/>
        <v>104516</v>
      </c>
      <c r="AI82" s="37">
        <f t="shared" si="25"/>
        <v>1859321.5</v>
      </c>
      <c r="AJ82" s="37">
        <f t="shared" si="26"/>
        <v>1980161.5</v>
      </c>
      <c r="AK82" s="36">
        <f t="shared" si="27"/>
        <v>0.12</v>
      </c>
      <c r="AL82" s="37">
        <f t="shared" si="28"/>
        <v>2082440.08</v>
      </c>
      <c r="AM82" s="37">
        <f t="shared" si="29"/>
        <v>2217780.88</v>
      </c>
    </row>
    <row r="83" spans="1:39" s="34" customFormat="1" ht="20.100000000000001" customHeight="1" x14ac:dyDescent="0.25">
      <c r="A83" s="41">
        <v>52</v>
      </c>
      <c r="B83" s="38">
        <v>108</v>
      </c>
      <c r="C83" s="47">
        <v>545</v>
      </c>
      <c r="D83" s="48">
        <f t="shared" si="32"/>
        <v>58.86</v>
      </c>
      <c r="E83" s="45">
        <f t="shared" si="9"/>
        <v>36045.828066598711</v>
      </c>
      <c r="F83" s="49">
        <v>0.13900000000000001</v>
      </c>
      <c r="G83" s="45">
        <f t="shared" si="10"/>
        <v>2416567.8241600003</v>
      </c>
      <c r="H83" s="55">
        <v>580</v>
      </c>
      <c r="I83" s="56">
        <f t="shared" si="33"/>
        <v>62.64</v>
      </c>
      <c r="J83" s="57">
        <f t="shared" si="11"/>
        <v>36072.028097062575</v>
      </c>
      <c r="K83" s="58">
        <v>0.13900000000000001</v>
      </c>
      <c r="L83" s="59">
        <f t="shared" si="12"/>
        <v>2573629.5457600001</v>
      </c>
      <c r="M83" s="37">
        <f t="shared" si="13"/>
        <v>941760</v>
      </c>
      <c r="N83" s="37">
        <f t="shared" si="14"/>
        <v>1064880</v>
      </c>
      <c r="O83" s="37">
        <f t="shared" si="15"/>
        <v>319464</v>
      </c>
      <c r="P83" s="37">
        <f t="shared" si="16"/>
        <v>250560</v>
      </c>
      <c r="Q83" s="37">
        <f t="shared" si="34"/>
        <v>4104</v>
      </c>
      <c r="R83" s="37">
        <f t="shared" si="35"/>
        <v>1080</v>
      </c>
      <c r="S83" s="37">
        <f t="shared" si="36"/>
        <v>5184</v>
      </c>
      <c r="T83" s="37">
        <f t="shared" si="17"/>
        <v>43848</v>
      </c>
      <c r="U83" s="37">
        <f t="shared" si="18"/>
        <v>31320</v>
      </c>
      <c r="V83" s="37">
        <f t="shared" si="19"/>
        <v>2000</v>
      </c>
      <c r="W83" s="37">
        <f t="shared" si="20"/>
        <v>1500</v>
      </c>
      <c r="X83" s="338">
        <f t="shared" si="31"/>
        <v>75168</v>
      </c>
      <c r="Y83" s="338"/>
      <c r="Z83" s="338"/>
      <c r="AA83" s="338"/>
      <c r="AB83" s="37">
        <f t="shared" si="37"/>
        <v>3510</v>
      </c>
      <c r="AC83" s="37">
        <f t="shared" si="22"/>
        <v>6264</v>
      </c>
      <c r="AD83" s="37">
        <f t="shared" si="38"/>
        <v>51867</v>
      </c>
      <c r="AE83" s="37">
        <f t="shared" si="39"/>
        <v>18900</v>
      </c>
      <c r="AF83" s="37">
        <f t="shared" si="30"/>
        <v>21924</v>
      </c>
      <c r="AG83" s="37">
        <f t="shared" si="23"/>
        <v>9396</v>
      </c>
      <c r="AH83" s="37">
        <f t="shared" si="24"/>
        <v>106488</v>
      </c>
      <c r="AI83" s="37">
        <f t="shared" si="25"/>
        <v>1894337</v>
      </c>
      <c r="AJ83" s="37">
        <f t="shared" si="26"/>
        <v>2017457</v>
      </c>
      <c r="AK83" s="36">
        <f t="shared" si="27"/>
        <v>0.12</v>
      </c>
      <c r="AL83" s="37">
        <f t="shared" si="28"/>
        <v>2121657.44</v>
      </c>
      <c r="AM83" s="37">
        <f t="shared" si="29"/>
        <v>2259551.84</v>
      </c>
    </row>
    <row r="84" spans="1:39" s="34" customFormat="1" ht="20.100000000000001" customHeight="1" x14ac:dyDescent="0.25">
      <c r="A84" s="41">
        <v>53</v>
      </c>
      <c r="B84" s="38">
        <v>110</v>
      </c>
      <c r="C84" s="47">
        <v>545</v>
      </c>
      <c r="D84" s="48">
        <f t="shared" si="32"/>
        <v>59.95</v>
      </c>
      <c r="E84" s="45">
        <f t="shared" si="9"/>
        <v>36044.617180984147</v>
      </c>
      <c r="F84" s="49">
        <v>0.13900000000000001</v>
      </c>
      <c r="G84" s="45">
        <f t="shared" si="10"/>
        <v>2461236.3971999995</v>
      </c>
      <c r="H84" s="55">
        <v>580</v>
      </c>
      <c r="I84" s="56">
        <f t="shared" si="33"/>
        <v>63.8</v>
      </c>
      <c r="J84" s="57">
        <f t="shared" si="11"/>
        <v>36070.890282131659</v>
      </c>
      <c r="K84" s="58">
        <v>0.13900000000000001</v>
      </c>
      <c r="L84" s="59">
        <f t="shared" si="12"/>
        <v>2621206.6691999999</v>
      </c>
      <c r="M84" s="37">
        <f t="shared" si="13"/>
        <v>959200</v>
      </c>
      <c r="N84" s="37">
        <f t="shared" si="14"/>
        <v>1084600</v>
      </c>
      <c r="O84" s="37">
        <f t="shared" si="15"/>
        <v>325379.99999999994</v>
      </c>
      <c r="P84" s="37">
        <f t="shared" si="16"/>
        <v>255200</v>
      </c>
      <c r="Q84" s="37">
        <f t="shared" si="34"/>
        <v>4180</v>
      </c>
      <c r="R84" s="37">
        <f t="shared" si="35"/>
        <v>1100</v>
      </c>
      <c r="S84" s="37">
        <f t="shared" si="36"/>
        <v>5280</v>
      </c>
      <c r="T84" s="37">
        <f t="shared" si="17"/>
        <v>44660</v>
      </c>
      <c r="U84" s="37">
        <f t="shared" si="18"/>
        <v>31900</v>
      </c>
      <c r="V84" s="37">
        <f t="shared" si="19"/>
        <v>2000</v>
      </c>
      <c r="W84" s="37">
        <f t="shared" si="20"/>
        <v>1500</v>
      </c>
      <c r="X84" s="338">
        <f t="shared" si="31"/>
        <v>76560</v>
      </c>
      <c r="Y84" s="338"/>
      <c r="Z84" s="338"/>
      <c r="AA84" s="338"/>
      <c r="AB84" s="37">
        <f t="shared" si="37"/>
        <v>3575</v>
      </c>
      <c r="AC84" s="37">
        <f t="shared" si="22"/>
        <v>6380</v>
      </c>
      <c r="AD84" s="37">
        <f t="shared" si="38"/>
        <v>52827.499999999993</v>
      </c>
      <c r="AE84" s="37">
        <f t="shared" si="39"/>
        <v>19250</v>
      </c>
      <c r="AF84" s="37">
        <f t="shared" si="30"/>
        <v>22330</v>
      </c>
      <c r="AG84" s="37">
        <f t="shared" si="23"/>
        <v>9570</v>
      </c>
      <c r="AH84" s="37">
        <f t="shared" si="24"/>
        <v>108460</v>
      </c>
      <c r="AI84" s="37">
        <f t="shared" si="25"/>
        <v>1929352.5</v>
      </c>
      <c r="AJ84" s="37">
        <f t="shared" si="26"/>
        <v>2054752.5</v>
      </c>
      <c r="AK84" s="36">
        <f t="shared" si="27"/>
        <v>0.12</v>
      </c>
      <c r="AL84" s="37">
        <f t="shared" si="28"/>
        <v>2160874.7999999998</v>
      </c>
      <c r="AM84" s="37">
        <f t="shared" si="29"/>
        <v>2301322.7999999998</v>
      </c>
    </row>
    <row r="85" spans="1:39" s="34" customFormat="1" ht="20.100000000000001" customHeight="1" x14ac:dyDescent="0.25">
      <c r="A85" s="41">
        <v>54</v>
      </c>
      <c r="B85" s="38">
        <v>112</v>
      </c>
      <c r="C85" s="47">
        <v>545</v>
      </c>
      <c r="D85" s="48">
        <f t="shared" si="32"/>
        <v>61.04</v>
      </c>
      <c r="E85" s="45">
        <f t="shared" si="9"/>
        <v>36043.449541284404</v>
      </c>
      <c r="F85" s="49">
        <v>0.13900000000000001</v>
      </c>
      <c r="G85" s="45">
        <f t="shared" si="10"/>
        <v>2505904.9702400002</v>
      </c>
      <c r="H85" s="55">
        <v>580</v>
      </c>
      <c r="I85" s="56">
        <f t="shared" si="33"/>
        <v>64.959999999999994</v>
      </c>
      <c r="J85" s="57">
        <f t="shared" si="11"/>
        <v>36069.793103448275</v>
      </c>
      <c r="K85" s="58">
        <v>0.13900000000000001</v>
      </c>
      <c r="L85" s="59">
        <f t="shared" si="12"/>
        <v>2668783.7926399997</v>
      </c>
      <c r="M85" s="37">
        <f t="shared" si="13"/>
        <v>976640</v>
      </c>
      <c r="N85" s="37">
        <f t="shared" si="14"/>
        <v>1104319.9999999998</v>
      </c>
      <c r="O85" s="37">
        <f t="shared" si="15"/>
        <v>331295.99999999994</v>
      </c>
      <c r="P85" s="37">
        <f t="shared" si="16"/>
        <v>259839.99999999997</v>
      </c>
      <c r="Q85" s="37">
        <f t="shared" si="34"/>
        <v>4256</v>
      </c>
      <c r="R85" s="37">
        <f t="shared" si="35"/>
        <v>1120</v>
      </c>
      <c r="S85" s="37">
        <f t="shared" si="36"/>
        <v>5376</v>
      </c>
      <c r="T85" s="37">
        <f t="shared" si="17"/>
        <v>45471.999999999993</v>
      </c>
      <c r="U85" s="37">
        <f t="shared" si="18"/>
        <v>32479.999999999996</v>
      </c>
      <c r="V85" s="37">
        <f t="shared" si="19"/>
        <v>2000</v>
      </c>
      <c r="W85" s="37">
        <f t="shared" si="20"/>
        <v>1500</v>
      </c>
      <c r="X85" s="338">
        <f t="shared" si="31"/>
        <v>77951.999999999985</v>
      </c>
      <c r="Y85" s="338"/>
      <c r="Z85" s="338"/>
      <c r="AA85" s="338"/>
      <c r="AB85" s="37">
        <f t="shared" si="37"/>
        <v>3640</v>
      </c>
      <c r="AC85" s="37">
        <f t="shared" si="22"/>
        <v>6495.9999999999991</v>
      </c>
      <c r="AD85" s="37">
        <f t="shared" si="38"/>
        <v>53787.999999999993</v>
      </c>
      <c r="AE85" s="37">
        <f t="shared" si="39"/>
        <v>19600</v>
      </c>
      <c r="AF85" s="37">
        <f t="shared" si="30"/>
        <v>22735.999999999996</v>
      </c>
      <c r="AG85" s="37">
        <f t="shared" si="23"/>
        <v>9743.9999999999982</v>
      </c>
      <c r="AH85" s="37">
        <f t="shared" si="24"/>
        <v>110431.99999999999</v>
      </c>
      <c r="AI85" s="37">
        <f t="shared" si="25"/>
        <v>1964368</v>
      </c>
      <c r="AJ85" s="37">
        <f t="shared" si="26"/>
        <v>2092047.9999999998</v>
      </c>
      <c r="AK85" s="36">
        <f t="shared" si="27"/>
        <v>0.12</v>
      </c>
      <c r="AL85" s="37">
        <f t="shared" si="28"/>
        <v>2200092.16</v>
      </c>
      <c r="AM85" s="37">
        <f t="shared" si="29"/>
        <v>2343093.7599999998</v>
      </c>
    </row>
    <row r="86" spans="1:39" s="34" customFormat="1" ht="20.100000000000001" customHeight="1" x14ac:dyDescent="0.25">
      <c r="A86" s="41">
        <v>55</v>
      </c>
      <c r="B86" s="38">
        <v>114</v>
      </c>
      <c r="C86" s="47">
        <v>545</v>
      </c>
      <c r="D86" s="48">
        <f t="shared" si="32"/>
        <v>62.13</v>
      </c>
      <c r="E86" s="45">
        <f t="shared" si="9"/>
        <v>36042.322871398675</v>
      </c>
      <c r="F86" s="49">
        <v>0.13900000000000001</v>
      </c>
      <c r="G86" s="45">
        <f t="shared" si="10"/>
        <v>2550573.5432799999</v>
      </c>
      <c r="H86" s="55">
        <v>580</v>
      </c>
      <c r="I86" s="56">
        <f t="shared" si="33"/>
        <v>66.12</v>
      </c>
      <c r="J86" s="57">
        <f t="shared" si="11"/>
        <v>36068.734422262554</v>
      </c>
      <c r="K86" s="58">
        <v>0.13900000000000001</v>
      </c>
      <c r="L86" s="59">
        <f t="shared" si="12"/>
        <v>2716360.9160800003</v>
      </c>
      <c r="M86" s="37">
        <f t="shared" si="13"/>
        <v>994080</v>
      </c>
      <c r="N86" s="37">
        <f t="shared" si="14"/>
        <v>1124040</v>
      </c>
      <c r="O86" s="37">
        <f t="shared" si="15"/>
        <v>337212</v>
      </c>
      <c r="P86" s="37">
        <f t="shared" si="16"/>
        <v>264480</v>
      </c>
      <c r="Q86" s="37">
        <f t="shared" si="34"/>
        <v>4332</v>
      </c>
      <c r="R86" s="37">
        <f t="shared" si="35"/>
        <v>1140</v>
      </c>
      <c r="S86" s="37">
        <f t="shared" si="36"/>
        <v>5472</v>
      </c>
      <c r="T86" s="37">
        <f t="shared" si="17"/>
        <v>46284</v>
      </c>
      <c r="U86" s="37">
        <f t="shared" si="18"/>
        <v>33060</v>
      </c>
      <c r="V86" s="37">
        <f t="shared" si="19"/>
        <v>2000</v>
      </c>
      <c r="W86" s="37">
        <f t="shared" si="20"/>
        <v>1500</v>
      </c>
      <c r="X86" s="338">
        <f t="shared" si="31"/>
        <v>79344</v>
      </c>
      <c r="Y86" s="338"/>
      <c r="Z86" s="338"/>
      <c r="AA86" s="338"/>
      <c r="AB86" s="37">
        <f t="shared" si="37"/>
        <v>3705</v>
      </c>
      <c r="AC86" s="37">
        <f t="shared" si="22"/>
        <v>6612</v>
      </c>
      <c r="AD86" s="37">
        <f t="shared" si="38"/>
        <v>54748.5</v>
      </c>
      <c r="AE86" s="37">
        <f t="shared" si="39"/>
        <v>19950</v>
      </c>
      <c r="AF86" s="37">
        <f t="shared" si="30"/>
        <v>23142</v>
      </c>
      <c r="AG86" s="37">
        <f t="shared" si="23"/>
        <v>9918</v>
      </c>
      <c r="AH86" s="37">
        <f t="shared" si="24"/>
        <v>112404.00000000001</v>
      </c>
      <c r="AI86" s="37">
        <f t="shared" si="25"/>
        <v>1999383.5</v>
      </c>
      <c r="AJ86" s="37">
        <f t="shared" si="26"/>
        <v>2129343.5</v>
      </c>
      <c r="AK86" s="36">
        <f t="shared" si="27"/>
        <v>0.12</v>
      </c>
      <c r="AL86" s="37">
        <f t="shared" si="28"/>
        <v>2239309.52</v>
      </c>
      <c r="AM86" s="37">
        <f t="shared" si="29"/>
        <v>2384864.7200000002</v>
      </c>
    </row>
    <row r="87" spans="1:39" s="34" customFormat="1" ht="20.100000000000001" customHeight="1" x14ac:dyDescent="0.25">
      <c r="A87" s="41">
        <v>56</v>
      </c>
      <c r="B87" s="38">
        <v>116</v>
      </c>
      <c r="C87" s="47">
        <v>545</v>
      </c>
      <c r="D87" s="48">
        <f t="shared" si="32"/>
        <v>63.22</v>
      </c>
      <c r="E87" s="45">
        <f t="shared" si="9"/>
        <v>36041.235052198674</v>
      </c>
      <c r="F87" s="49">
        <v>0.13900000000000001</v>
      </c>
      <c r="G87" s="45">
        <f t="shared" si="10"/>
        <v>2595242.11632</v>
      </c>
      <c r="H87" s="55">
        <v>580</v>
      </c>
      <c r="I87" s="56">
        <f t="shared" si="33"/>
        <v>67.28</v>
      </c>
      <c r="J87" s="57">
        <f t="shared" si="11"/>
        <v>36067.712247324613</v>
      </c>
      <c r="K87" s="58">
        <v>0.13900000000000001</v>
      </c>
      <c r="L87" s="59">
        <f t="shared" si="12"/>
        <v>2763938.0395200001</v>
      </c>
      <c r="M87" s="37">
        <f t="shared" si="13"/>
        <v>1011520</v>
      </c>
      <c r="N87" s="37">
        <f t="shared" si="14"/>
        <v>1143760</v>
      </c>
      <c r="O87" s="37">
        <f t="shared" si="15"/>
        <v>343128</v>
      </c>
      <c r="P87" s="37">
        <f t="shared" si="16"/>
        <v>269120</v>
      </c>
      <c r="Q87" s="37">
        <f t="shared" si="34"/>
        <v>4408</v>
      </c>
      <c r="R87" s="37">
        <f t="shared" si="35"/>
        <v>1160</v>
      </c>
      <c r="S87" s="37">
        <f t="shared" si="36"/>
        <v>5568</v>
      </c>
      <c r="T87" s="37">
        <f t="shared" si="17"/>
        <v>47096</v>
      </c>
      <c r="U87" s="37">
        <f t="shared" si="18"/>
        <v>33640</v>
      </c>
      <c r="V87" s="37">
        <f t="shared" si="19"/>
        <v>2000</v>
      </c>
      <c r="W87" s="37">
        <f t="shared" si="20"/>
        <v>1500</v>
      </c>
      <c r="X87" s="338">
        <f t="shared" si="31"/>
        <v>80736</v>
      </c>
      <c r="Y87" s="338"/>
      <c r="Z87" s="338"/>
      <c r="AA87" s="338"/>
      <c r="AB87" s="37">
        <f t="shared" si="37"/>
        <v>3770</v>
      </c>
      <c r="AC87" s="37">
        <f t="shared" si="22"/>
        <v>6728</v>
      </c>
      <c r="AD87" s="37">
        <f t="shared" si="38"/>
        <v>55708.999999999993</v>
      </c>
      <c r="AE87" s="37">
        <f t="shared" si="39"/>
        <v>20300</v>
      </c>
      <c r="AF87" s="37">
        <f t="shared" si="30"/>
        <v>23548</v>
      </c>
      <c r="AG87" s="37">
        <f t="shared" si="23"/>
        <v>10092</v>
      </c>
      <c r="AH87" s="37">
        <f t="shared" si="24"/>
        <v>114376</v>
      </c>
      <c r="AI87" s="37">
        <f t="shared" si="25"/>
        <v>2034399</v>
      </c>
      <c r="AJ87" s="37">
        <f t="shared" si="26"/>
        <v>2166639</v>
      </c>
      <c r="AK87" s="36">
        <f t="shared" si="27"/>
        <v>0.12</v>
      </c>
      <c r="AL87" s="37">
        <f t="shared" si="28"/>
        <v>2278526.88</v>
      </c>
      <c r="AM87" s="37">
        <f t="shared" si="29"/>
        <v>2426635.6800000002</v>
      </c>
    </row>
    <row r="88" spans="1:39" s="34" customFormat="1" ht="20.100000000000001" customHeight="1" x14ac:dyDescent="0.25">
      <c r="A88" s="41">
        <v>57</v>
      </c>
      <c r="B88" s="38">
        <v>118</v>
      </c>
      <c r="C88" s="47">
        <v>545</v>
      </c>
      <c r="D88" s="48">
        <f t="shared" si="32"/>
        <v>64.31</v>
      </c>
      <c r="E88" s="45">
        <f t="shared" si="9"/>
        <v>36040.184108225782</v>
      </c>
      <c r="F88" s="49">
        <v>0.13900000000000001</v>
      </c>
      <c r="G88" s="45">
        <f t="shared" si="10"/>
        <v>2639910.6893600002</v>
      </c>
      <c r="H88" s="55">
        <v>580</v>
      </c>
      <c r="I88" s="56">
        <f t="shared" si="33"/>
        <v>68.44</v>
      </c>
      <c r="J88" s="57">
        <f t="shared" si="11"/>
        <v>36066.724722384577</v>
      </c>
      <c r="K88" s="58">
        <v>0.13900000000000001</v>
      </c>
      <c r="L88" s="59">
        <f t="shared" si="12"/>
        <v>2811515.1629600003</v>
      </c>
      <c r="M88" s="37">
        <f t="shared" si="13"/>
        <v>1028960</v>
      </c>
      <c r="N88" s="37">
        <f t="shared" si="14"/>
        <v>1163480</v>
      </c>
      <c r="O88" s="37">
        <f t="shared" si="15"/>
        <v>349044</v>
      </c>
      <c r="P88" s="37">
        <f t="shared" si="16"/>
        <v>273760</v>
      </c>
      <c r="Q88" s="37">
        <f t="shared" si="34"/>
        <v>4484</v>
      </c>
      <c r="R88" s="37">
        <f t="shared" si="35"/>
        <v>1180</v>
      </c>
      <c r="S88" s="37">
        <f t="shared" si="36"/>
        <v>5664</v>
      </c>
      <c r="T88" s="37">
        <f t="shared" si="17"/>
        <v>47908</v>
      </c>
      <c r="U88" s="37">
        <f t="shared" si="18"/>
        <v>34220</v>
      </c>
      <c r="V88" s="37">
        <f t="shared" si="19"/>
        <v>2000</v>
      </c>
      <c r="W88" s="37">
        <f t="shared" si="20"/>
        <v>1500</v>
      </c>
      <c r="X88" s="338">
        <f t="shared" si="31"/>
        <v>82128</v>
      </c>
      <c r="Y88" s="338"/>
      <c r="Z88" s="338"/>
      <c r="AA88" s="338"/>
      <c r="AB88" s="37">
        <f t="shared" si="37"/>
        <v>3835</v>
      </c>
      <c r="AC88" s="37">
        <f t="shared" si="22"/>
        <v>6844</v>
      </c>
      <c r="AD88" s="37">
        <f t="shared" si="38"/>
        <v>56669.499999999993</v>
      </c>
      <c r="AE88" s="37">
        <f t="shared" si="39"/>
        <v>20650</v>
      </c>
      <c r="AF88" s="37">
        <f t="shared" si="30"/>
        <v>23954</v>
      </c>
      <c r="AG88" s="37">
        <f t="shared" si="23"/>
        <v>10266</v>
      </c>
      <c r="AH88" s="37">
        <f t="shared" si="24"/>
        <v>116348</v>
      </c>
      <c r="AI88" s="37">
        <f t="shared" si="25"/>
        <v>2069414.5</v>
      </c>
      <c r="AJ88" s="37">
        <f t="shared" si="26"/>
        <v>2203934.5</v>
      </c>
      <c r="AK88" s="36">
        <f t="shared" si="27"/>
        <v>0.12</v>
      </c>
      <c r="AL88" s="37">
        <f t="shared" si="28"/>
        <v>2317744.2400000002</v>
      </c>
      <c r="AM88" s="37">
        <f t="shared" si="29"/>
        <v>2468406.64</v>
      </c>
    </row>
    <row r="89" spans="1:39" s="34" customFormat="1" ht="20.100000000000001" customHeight="1" x14ac:dyDescent="0.25">
      <c r="A89" s="41">
        <v>58</v>
      </c>
      <c r="B89" s="38">
        <v>120</v>
      </c>
      <c r="C89" s="47">
        <v>545</v>
      </c>
      <c r="D89" s="48">
        <f t="shared" si="32"/>
        <v>65.400000000000006</v>
      </c>
      <c r="E89" s="45">
        <f t="shared" si="9"/>
        <v>36039.168195718652</v>
      </c>
      <c r="F89" s="49">
        <v>0.13900000000000001</v>
      </c>
      <c r="G89" s="45">
        <f t="shared" si="10"/>
        <v>2684579.2623999999</v>
      </c>
      <c r="H89" s="55">
        <v>580</v>
      </c>
      <c r="I89" s="56">
        <f t="shared" si="33"/>
        <v>69.599999999999994</v>
      </c>
      <c r="J89" s="57">
        <f t="shared" si="11"/>
        <v>36065.770114942534</v>
      </c>
      <c r="K89" s="58">
        <v>0.13900000000000001</v>
      </c>
      <c r="L89" s="59">
        <f t="shared" si="12"/>
        <v>2859092.2864000001</v>
      </c>
      <c r="M89" s="37">
        <f t="shared" si="13"/>
        <v>1046400.0000000001</v>
      </c>
      <c r="N89" s="37">
        <f t="shared" si="14"/>
        <v>1183200</v>
      </c>
      <c r="O89" s="37">
        <f t="shared" si="15"/>
        <v>354959.99999999994</v>
      </c>
      <c r="P89" s="37">
        <f t="shared" si="16"/>
        <v>278400</v>
      </c>
      <c r="Q89" s="37">
        <f t="shared" si="34"/>
        <v>4560</v>
      </c>
      <c r="R89" s="37">
        <f t="shared" si="35"/>
        <v>1200</v>
      </c>
      <c r="S89" s="37">
        <f t="shared" si="36"/>
        <v>5760</v>
      </c>
      <c r="T89" s="37">
        <f t="shared" si="17"/>
        <v>48720</v>
      </c>
      <c r="U89" s="37">
        <f t="shared" si="18"/>
        <v>34800</v>
      </c>
      <c r="V89" s="37">
        <f t="shared" si="19"/>
        <v>2000</v>
      </c>
      <c r="W89" s="37">
        <f t="shared" si="20"/>
        <v>1500</v>
      </c>
      <c r="X89" s="338">
        <f t="shared" si="31"/>
        <v>83520</v>
      </c>
      <c r="Y89" s="338"/>
      <c r="Z89" s="338"/>
      <c r="AA89" s="338"/>
      <c r="AB89" s="37">
        <f t="shared" si="37"/>
        <v>3900</v>
      </c>
      <c r="AC89" s="37">
        <f t="shared" si="22"/>
        <v>6959.9999999999991</v>
      </c>
      <c r="AD89" s="37">
        <f t="shared" si="38"/>
        <v>57630</v>
      </c>
      <c r="AE89" s="37">
        <f t="shared" si="39"/>
        <v>21000</v>
      </c>
      <c r="AF89" s="37">
        <f t="shared" si="30"/>
        <v>24359.999999999996</v>
      </c>
      <c r="AG89" s="37">
        <f t="shared" si="23"/>
        <v>10440</v>
      </c>
      <c r="AH89" s="37">
        <f t="shared" si="24"/>
        <v>118319.99999999999</v>
      </c>
      <c r="AI89" s="37">
        <f t="shared" si="25"/>
        <v>2104430</v>
      </c>
      <c r="AJ89" s="37">
        <f t="shared" si="26"/>
        <v>2241230</v>
      </c>
      <c r="AK89" s="36">
        <f t="shared" si="27"/>
        <v>0.12</v>
      </c>
      <c r="AL89" s="37">
        <f t="shared" si="28"/>
        <v>2356961.6</v>
      </c>
      <c r="AM89" s="37">
        <f t="shared" si="29"/>
        <v>2510177.6</v>
      </c>
    </row>
    <row r="90" spans="1:39" s="34" customFormat="1" ht="20.100000000000001" customHeight="1" x14ac:dyDescent="0.25">
      <c r="A90" s="41">
        <v>59</v>
      </c>
      <c r="B90" s="38">
        <v>122</v>
      </c>
      <c r="C90" s="47">
        <v>545</v>
      </c>
      <c r="D90" s="48">
        <f t="shared" si="32"/>
        <v>66.489999999999995</v>
      </c>
      <c r="E90" s="45">
        <f t="shared" si="9"/>
        <v>36038.185591818321</v>
      </c>
      <c r="F90" s="49">
        <v>0.13900000000000001</v>
      </c>
      <c r="G90" s="45">
        <f t="shared" si="10"/>
        <v>2729247.8354399996</v>
      </c>
      <c r="H90" s="55">
        <v>580</v>
      </c>
      <c r="I90" s="56">
        <f t="shared" si="33"/>
        <v>70.760000000000005</v>
      </c>
      <c r="J90" s="57">
        <f t="shared" si="11"/>
        <v>36064.846806105139</v>
      </c>
      <c r="K90" s="58">
        <v>0.13900000000000001</v>
      </c>
      <c r="L90" s="59">
        <f t="shared" si="12"/>
        <v>2906669.4098399999</v>
      </c>
      <c r="M90" s="37">
        <f t="shared" si="13"/>
        <v>1063840</v>
      </c>
      <c r="N90" s="37">
        <f t="shared" si="14"/>
        <v>1202920</v>
      </c>
      <c r="O90" s="37">
        <f t="shared" si="15"/>
        <v>360876</v>
      </c>
      <c r="P90" s="37">
        <f t="shared" si="16"/>
        <v>283040</v>
      </c>
      <c r="Q90" s="37">
        <f t="shared" si="34"/>
        <v>4636</v>
      </c>
      <c r="R90" s="37">
        <f t="shared" si="35"/>
        <v>1220</v>
      </c>
      <c r="S90" s="37">
        <f t="shared" si="36"/>
        <v>5856</v>
      </c>
      <c r="T90" s="37">
        <f t="shared" si="17"/>
        <v>49532</v>
      </c>
      <c r="U90" s="37">
        <f t="shared" si="18"/>
        <v>35380</v>
      </c>
      <c r="V90" s="37">
        <f t="shared" si="19"/>
        <v>2000</v>
      </c>
      <c r="W90" s="37">
        <f t="shared" si="20"/>
        <v>1500</v>
      </c>
      <c r="X90" s="338">
        <f t="shared" si="31"/>
        <v>84912</v>
      </c>
      <c r="Y90" s="338"/>
      <c r="Z90" s="338"/>
      <c r="AA90" s="338"/>
      <c r="AB90" s="37">
        <f t="shared" si="37"/>
        <v>3965</v>
      </c>
      <c r="AC90" s="37">
        <f t="shared" si="22"/>
        <v>7076.0000000000009</v>
      </c>
      <c r="AD90" s="37">
        <f t="shared" si="38"/>
        <v>58590.499999999993</v>
      </c>
      <c r="AE90" s="37">
        <f t="shared" si="39"/>
        <v>21350</v>
      </c>
      <c r="AF90" s="37">
        <f t="shared" si="30"/>
        <v>24766</v>
      </c>
      <c r="AG90" s="37">
        <f t="shared" si="23"/>
        <v>10614</v>
      </c>
      <c r="AH90" s="37">
        <f t="shared" si="24"/>
        <v>120292.00000000001</v>
      </c>
      <c r="AI90" s="37">
        <f t="shared" si="25"/>
        <v>2139445.5</v>
      </c>
      <c r="AJ90" s="37">
        <f t="shared" si="26"/>
        <v>2278525.5</v>
      </c>
      <c r="AK90" s="36">
        <f t="shared" si="27"/>
        <v>0.12</v>
      </c>
      <c r="AL90" s="37">
        <f t="shared" si="28"/>
        <v>2396178.96</v>
      </c>
      <c r="AM90" s="37">
        <f t="shared" si="29"/>
        <v>2551948.56</v>
      </c>
    </row>
    <row r="91" spans="1:39" ht="20.100000000000001" customHeight="1" x14ac:dyDescent="0.25">
      <c r="A91" s="41">
        <v>60</v>
      </c>
      <c r="B91" s="38">
        <v>124</v>
      </c>
      <c r="C91" s="47">
        <v>545</v>
      </c>
      <c r="D91" s="48">
        <f t="shared" si="32"/>
        <v>67.58</v>
      </c>
      <c r="E91" s="45">
        <f t="shared" si="9"/>
        <v>36037.234684817995</v>
      </c>
      <c r="F91" s="49">
        <v>0.13900000000000001</v>
      </c>
      <c r="G91" s="45">
        <f t="shared" si="10"/>
        <v>2773916.4084800002</v>
      </c>
      <c r="H91" s="55">
        <v>580</v>
      </c>
      <c r="I91" s="56">
        <f t="shared" si="33"/>
        <v>71.92</v>
      </c>
      <c r="J91" s="57">
        <f t="shared" si="11"/>
        <v>36063.953281423805</v>
      </c>
      <c r="K91" s="58">
        <v>0.13900000000000001</v>
      </c>
      <c r="L91" s="59">
        <f t="shared" si="12"/>
        <v>2954246.5332800001</v>
      </c>
      <c r="M91" s="37">
        <f t="shared" si="13"/>
        <v>1081280</v>
      </c>
      <c r="N91" s="37">
        <f t="shared" si="14"/>
        <v>1222640</v>
      </c>
      <c r="O91" s="37">
        <f t="shared" si="15"/>
        <v>366792</v>
      </c>
      <c r="P91" s="37">
        <f t="shared" si="16"/>
        <v>287680</v>
      </c>
      <c r="Q91" s="37">
        <f t="shared" si="34"/>
        <v>4712</v>
      </c>
      <c r="R91" s="37">
        <f t="shared" si="35"/>
        <v>1240</v>
      </c>
      <c r="S91" s="37">
        <f t="shared" si="36"/>
        <v>5952</v>
      </c>
      <c r="T91" s="37">
        <f t="shared" si="17"/>
        <v>50344</v>
      </c>
      <c r="U91" s="37">
        <f t="shared" si="18"/>
        <v>35960</v>
      </c>
      <c r="V91" s="37">
        <f t="shared" si="19"/>
        <v>2000</v>
      </c>
      <c r="W91" s="37">
        <f t="shared" si="20"/>
        <v>1500</v>
      </c>
      <c r="X91" s="338">
        <f t="shared" si="31"/>
        <v>86304</v>
      </c>
      <c r="Y91" s="338"/>
      <c r="Z91" s="338"/>
      <c r="AA91" s="338"/>
      <c r="AB91" s="37">
        <f t="shared" si="37"/>
        <v>4030</v>
      </c>
      <c r="AC91" s="37">
        <f t="shared" si="22"/>
        <v>7192</v>
      </c>
      <c r="AD91" s="37">
        <f t="shared" si="38"/>
        <v>59550.999999999993</v>
      </c>
      <c r="AE91" s="37">
        <f t="shared" si="39"/>
        <v>21700</v>
      </c>
      <c r="AF91" s="37">
        <f t="shared" si="30"/>
        <v>25172</v>
      </c>
      <c r="AG91" s="37">
        <f t="shared" si="23"/>
        <v>10788</v>
      </c>
      <c r="AH91" s="37">
        <f t="shared" si="24"/>
        <v>122264</v>
      </c>
      <c r="AI91" s="37">
        <f t="shared" si="25"/>
        <v>2174461</v>
      </c>
      <c r="AJ91" s="37">
        <f t="shared" si="26"/>
        <v>2315821</v>
      </c>
      <c r="AK91" s="36">
        <f t="shared" si="27"/>
        <v>0.12</v>
      </c>
      <c r="AL91" s="37">
        <f t="shared" si="28"/>
        <v>2435396.3199999998</v>
      </c>
      <c r="AM91" s="37">
        <f t="shared" si="29"/>
        <v>2593719.52</v>
      </c>
    </row>
    <row r="92" spans="1:39" ht="20.100000000000001" customHeight="1" x14ac:dyDescent="0.25">
      <c r="A92" s="41">
        <v>61</v>
      </c>
      <c r="B92" s="38">
        <v>126</v>
      </c>
      <c r="C92" s="47">
        <v>545</v>
      </c>
      <c r="D92" s="48">
        <f t="shared" si="32"/>
        <v>68.67</v>
      </c>
      <c r="E92" s="45">
        <f t="shared" si="9"/>
        <v>36036.313965341491</v>
      </c>
      <c r="F92" s="49">
        <v>0.13900000000000001</v>
      </c>
      <c r="G92" s="45">
        <f t="shared" si="10"/>
        <v>2818584.9815200004</v>
      </c>
      <c r="H92" s="55">
        <v>580</v>
      </c>
      <c r="I92" s="56">
        <f t="shared" si="33"/>
        <v>73.08</v>
      </c>
      <c r="J92" s="57">
        <f t="shared" si="11"/>
        <v>36063.088122605368</v>
      </c>
      <c r="K92" s="58">
        <v>0.13900000000000001</v>
      </c>
      <c r="L92" s="59">
        <f t="shared" si="12"/>
        <v>3001823.6567200003</v>
      </c>
      <c r="M92" s="37">
        <f t="shared" si="13"/>
        <v>1098720</v>
      </c>
      <c r="N92" s="37">
        <f t="shared" si="14"/>
        <v>1242360</v>
      </c>
      <c r="O92" s="37">
        <f t="shared" si="15"/>
        <v>372707.99999999994</v>
      </c>
      <c r="P92" s="37">
        <f t="shared" si="16"/>
        <v>292320</v>
      </c>
      <c r="Q92" s="37">
        <f t="shared" si="34"/>
        <v>4788</v>
      </c>
      <c r="R92" s="37">
        <f t="shared" si="35"/>
        <v>1260</v>
      </c>
      <c r="S92" s="37">
        <f t="shared" si="36"/>
        <v>6048</v>
      </c>
      <c r="T92" s="37">
        <f t="shared" si="17"/>
        <v>51156</v>
      </c>
      <c r="U92" s="37">
        <f t="shared" si="18"/>
        <v>36540</v>
      </c>
      <c r="V92" s="37">
        <f t="shared" si="19"/>
        <v>2000</v>
      </c>
      <c r="W92" s="37">
        <f t="shared" si="20"/>
        <v>1500</v>
      </c>
      <c r="X92" s="338">
        <f t="shared" si="31"/>
        <v>87696</v>
      </c>
      <c r="Y92" s="338"/>
      <c r="Z92" s="338"/>
      <c r="AA92" s="338"/>
      <c r="AB92" s="37">
        <f t="shared" si="37"/>
        <v>4095</v>
      </c>
      <c r="AC92" s="37">
        <f t="shared" si="22"/>
        <v>7308</v>
      </c>
      <c r="AD92" s="37">
        <f t="shared" si="38"/>
        <v>60511.5</v>
      </c>
      <c r="AE92" s="37">
        <f t="shared" si="39"/>
        <v>22050</v>
      </c>
      <c r="AF92" s="37">
        <f t="shared" si="30"/>
        <v>25578</v>
      </c>
      <c r="AG92" s="37">
        <f t="shared" si="23"/>
        <v>10962</v>
      </c>
      <c r="AH92" s="37">
        <f t="shared" si="24"/>
        <v>124236</v>
      </c>
      <c r="AI92" s="37">
        <f t="shared" si="25"/>
        <v>2209476.5</v>
      </c>
      <c r="AJ92" s="37">
        <f t="shared" si="26"/>
        <v>2353116.5</v>
      </c>
      <c r="AK92" s="36">
        <f t="shared" si="27"/>
        <v>0.12</v>
      </c>
      <c r="AL92" s="37">
        <f t="shared" si="28"/>
        <v>2474613.6800000002</v>
      </c>
      <c r="AM92" s="37">
        <f t="shared" si="29"/>
        <v>2635490.48</v>
      </c>
    </row>
    <row r="93" spans="1:39" ht="20.100000000000001" customHeight="1" x14ac:dyDescent="0.25">
      <c r="A93" s="41">
        <v>62</v>
      </c>
      <c r="B93" s="38">
        <v>128</v>
      </c>
      <c r="C93" s="47">
        <v>545</v>
      </c>
      <c r="D93" s="48">
        <f t="shared" si="32"/>
        <v>69.760000000000005</v>
      </c>
      <c r="E93" s="45">
        <f t="shared" si="9"/>
        <v>36035.422018348625</v>
      </c>
      <c r="F93" s="49">
        <v>0.13900000000000001</v>
      </c>
      <c r="G93" s="45">
        <f t="shared" si="10"/>
        <v>2863253.5545600005</v>
      </c>
      <c r="H93" s="55">
        <v>580</v>
      </c>
      <c r="I93" s="56">
        <f t="shared" si="33"/>
        <v>74.239999999999995</v>
      </c>
      <c r="J93" s="57">
        <f t="shared" si="11"/>
        <v>36062.25</v>
      </c>
      <c r="K93" s="58">
        <v>0.13900000000000001</v>
      </c>
      <c r="L93" s="59">
        <f t="shared" si="12"/>
        <v>3049400.7801600001</v>
      </c>
      <c r="M93" s="37">
        <f t="shared" si="13"/>
        <v>1116160</v>
      </c>
      <c r="N93" s="37">
        <f t="shared" si="14"/>
        <v>1262080</v>
      </c>
      <c r="O93" s="37">
        <f t="shared" si="15"/>
        <v>378623.99999999994</v>
      </c>
      <c r="P93" s="37">
        <f t="shared" si="16"/>
        <v>296960</v>
      </c>
      <c r="Q93" s="37">
        <f t="shared" si="34"/>
        <v>4864</v>
      </c>
      <c r="R93" s="37">
        <f t="shared" si="35"/>
        <v>1280</v>
      </c>
      <c r="S93" s="37">
        <f t="shared" si="36"/>
        <v>6144</v>
      </c>
      <c r="T93" s="37">
        <f t="shared" si="17"/>
        <v>51968</v>
      </c>
      <c r="U93" s="37">
        <f t="shared" si="18"/>
        <v>37120</v>
      </c>
      <c r="V93" s="37">
        <f t="shared" si="19"/>
        <v>2000</v>
      </c>
      <c r="W93" s="37">
        <f t="shared" si="20"/>
        <v>1500</v>
      </c>
      <c r="X93" s="338">
        <f t="shared" si="31"/>
        <v>89088</v>
      </c>
      <c r="Y93" s="338"/>
      <c r="Z93" s="338"/>
      <c r="AA93" s="338"/>
      <c r="AB93" s="37">
        <f t="shared" si="37"/>
        <v>4160</v>
      </c>
      <c r="AC93" s="37">
        <f t="shared" si="22"/>
        <v>7423.9999999999991</v>
      </c>
      <c r="AD93" s="37">
        <f t="shared" si="38"/>
        <v>61471.999999999993</v>
      </c>
      <c r="AE93" s="37">
        <f t="shared" si="39"/>
        <v>22400</v>
      </c>
      <c r="AF93" s="37">
        <f t="shared" si="30"/>
        <v>25984</v>
      </c>
      <c r="AG93" s="37">
        <f t="shared" si="23"/>
        <v>11136</v>
      </c>
      <c r="AH93" s="37">
        <f t="shared" si="24"/>
        <v>126207.99999999999</v>
      </c>
      <c r="AI93" s="37">
        <f t="shared" si="25"/>
        <v>2244492</v>
      </c>
      <c r="AJ93" s="37">
        <f t="shared" si="26"/>
        <v>2390412</v>
      </c>
      <c r="AK93" s="36">
        <f t="shared" si="27"/>
        <v>0.12</v>
      </c>
      <c r="AL93" s="37">
        <f t="shared" si="28"/>
        <v>2513831.04</v>
      </c>
      <c r="AM93" s="37">
        <f t="shared" si="29"/>
        <v>2677261.44</v>
      </c>
    </row>
    <row r="94" spans="1:39" ht="20.100000000000001" customHeight="1" x14ac:dyDescent="0.25">
      <c r="A94" s="41">
        <v>63</v>
      </c>
      <c r="B94" s="38">
        <v>130</v>
      </c>
      <c r="C94" s="47">
        <v>545</v>
      </c>
      <c r="D94" s="48">
        <f t="shared" si="32"/>
        <v>70.849999999999994</v>
      </c>
      <c r="E94" s="45">
        <f t="shared" si="9"/>
        <v>36034.557515878616</v>
      </c>
      <c r="F94" s="49">
        <v>0.13900000000000001</v>
      </c>
      <c r="G94" s="45">
        <f t="shared" si="10"/>
        <v>2907922.1275999998</v>
      </c>
      <c r="H94" s="55">
        <v>580</v>
      </c>
      <c r="I94" s="56">
        <f t="shared" si="33"/>
        <v>75.400000000000006</v>
      </c>
      <c r="J94" s="57">
        <f t="shared" si="11"/>
        <v>36061.437665782491</v>
      </c>
      <c r="K94" s="58">
        <v>0.13900000000000001</v>
      </c>
      <c r="L94" s="59">
        <f t="shared" si="12"/>
        <v>3096977.9035999998</v>
      </c>
      <c r="M94" s="37">
        <f t="shared" si="13"/>
        <v>1133600</v>
      </c>
      <c r="N94" s="37">
        <f t="shared" si="14"/>
        <v>1281800</v>
      </c>
      <c r="O94" s="37">
        <f t="shared" si="15"/>
        <v>384540</v>
      </c>
      <c r="P94" s="37">
        <f t="shared" si="16"/>
        <v>301600</v>
      </c>
      <c r="Q94" s="37">
        <f t="shared" si="34"/>
        <v>4940</v>
      </c>
      <c r="R94" s="37">
        <f t="shared" si="35"/>
        <v>1300</v>
      </c>
      <c r="S94" s="37">
        <f t="shared" si="36"/>
        <v>6240</v>
      </c>
      <c r="T94" s="37">
        <f t="shared" si="17"/>
        <v>52780</v>
      </c>
      <c r="U94" s="37">
        <f t="shared" si="18"/>
        <v>37700</v>
      </c>
      <c r="V94" s="37">
        <f t="shared" si="19"/>
        <v>2000</v>
      </c>
      <c r="W94" s="37">
        <f t="shared" si="20"/>
        <v>1500</v>
      </c>
      <c r="X94" s="338">
        <f t="shared" si="31"/>
        <v>90480</v>
      </c>
      <c r="Y94" s="338"/>
      <c r="Z94" s="338"/>
      <c r="AA94" s="338"/>
      <c r="AB94" s="37">
        <f t="shared" si="37"/>
        <v>4225</v>
      </c>
      <c r="AC94" s="37">
        <f t="shared" si="22"/>
        <v>7540.0000000000009</v>
      </c>
      <c r="AD94" s="37">
        <f t="shared" si="38"/>
        <v>62432.499999999993</v>
      </c>
      <c r="AE94" s="37">
        <f t="shared" si="39"/>
        <v>22750</v>
      </c>
      <c r="AF94" s="37">
        <f t="shared" si="30"/>
        <v>26390.000000000004</v>
      </c>
      <c r="AG94" s="37">
        <f t="shared" si="23"/>
        <v>11310</v>
      </c>
      <c r="AH94" s="37">
        <f t="shared" si="24"/>
        <v>128180.00000000001</v>
      </c>
      <c r="AI94" s="37">
        <f t="shared" si="25"/>
        <v>2279507.5</v>
      </c>
      <c r="AJ94" s="37">
        <f t="shared" si="26"/>
        <v>2427707.5</v>
      </c>
      <c r="AK94" s="36">
        <f t="shared" si="27"/>
        <v>0.12</v>
      </c>
      <c r="AL94" s="37">
        <f t="shared" si="28"/>
        <v>2553048.4</v>
      </c>
      <c r="AM94" s="37">
        <f t="shared" si="29"/>
        <v>2719032.4</v>
      </c>
    </row>
    <row r="95" spans="1:39" ht="20.100000000000001" customHeight="1" x14ac:dyDescent="0.25">
      <c r="A95" s="41">
        <v>64</v>
      </c>
      <c r="B95" s="38">
        <v>132</v>
      </c>
      <c r="C95" s="47">
        <v>545</v>
      </c>
      <c r="D95" s="48">
        <f t="shared" si="32"/>
        <v>71.94</v>
      </c>
      <c r="E95" s="45">
        <f t="shared" si="9"/>
        <v>36033.719210453157</v>
      </c>
      <c r="F95" s="49">
        <v>0.13900000000000001</v>
      </c>
      <c r="G95" s="45">
        <f t="shared" si="10"/>
        <v>2952590.7006399999</v>
      </c>
      <c r="H95" s="55">
        <v>580</v>
      </c>
      <c r="I95" s="56">
        <f t="shared" si="33"/>
        <v>76.56</v>
      </c>
      <c r="J95" s="57">
        <f t="shared" si="11"/>
        <v>36060.649947753394</v>
      </c>
      <c r="K95" s="58">
        <v>0.13900000000000001</v>
      </c>
      <c r="L95" s="59">
        <f t="shared" si="12"/>
        <v>3144555.0270400001</v>
      </c>
      <c r="M95" s="37">
        <f t="shared" si="13"/>
        <v>1151040</v>
      </c>
      <c r="N95" s="37">
        <f t="shared" si="14"/>
        <v>1301520</v>
      </c>
      <c r="O95" s="37">
        <f t="shared" si="15"/>
        <v>390455.99999999994</v>
      </c>
      <c r="P95" s="37">
        <f t="shared" si="16"/>
        <v>306240</v>
      </c>
      <c r="Q95" s="37">
        <f t="shared" si="34"/>
        <v>5016</v>
      </c>
      <c r="R95" s="37">
        <f t="shared" si="35"/>
        <v>1320</v>
      </c>
      <c r="S95" s="37">
        <f t="shared" si="36"/>
        <v>6336</v>
      </c>
      <c r="T95" s="37">
        <f t="shared" si="17"/>
        <v>53592</v>
      </c>
      <c r="U95" s="37">
        <f t="shared" si="18"/>
        <v>38280</v>
      </c>
      <c r="V95" s="37">
        <f t="shared" si="19"/>
        <v>2000</v>
      </c>
      <c r="W95" s="37">
        <f t="shared" si="20"/>
        <v>1500</v>
      </c>
      <c r="X95" s="338">
        <f t="shared" si="31"/>
        <v>91872</v>
      </c>
      <c r="Y95" s="338"/>
      <c r="Z95" s="338"/>
      <c r="AA95" s="338"/>
      <c r="AB95" s="37">
        <f t="shared" si="37"/>
        <v>4290</v>
      </c>
      <c r="AC95" s="37">
        <f t="shared" si="22"/>
        <v>7656</v>
      </c>
      <c r="AD95" s="37">
        <f t="shared" si="38"/>
        <v>63393</v>
      </c>
      <c r="AE95" s="37">
        <f t="shared" si="39"/>
        <v>23100</v>
      </c>
      <c r="AF95" s="37">
        <f t="shared" si="30"/>
        <v>26796</v>
      </c>
      <c r="AG95" s="37">
        <f t="shared" si="23"/>
        <v>11484</v>
      </c>
      <c r="AH95" s="37">
        <f t="shared" si="24"/>
        <v>130152</v>
      </c>
      <c r="AI95" s="37">
        <f t="shared" si="25"/>
        <v>2314523</v>
      </c>
      <c r="AJ95" s="37">
        <f t="shared" si="26"/>
        <v>2465003</v>
      </c>
      <c r="AK95" s="36">
        <f t="shared" si="27"/>
        <v>0.12</v>
      </c>
      <c r="AL95" s="37">
        <f t="shared" si="28"/>
        <v>2592265.7599999998</v>
      </c>
      <c r="AM95" s="37">
        <f t="shared" si="29"/>
        <v>2760803.36</v>
      </c>
    </row>
    <row r="96" spans="1:39" ht="20.100000000000001" customHeight="1" x14ac:dyDescent="0.25">
      <c r="A96" s="41">
        <v>65</v>
      </c>
      <c r="B96" s="38">
        <v>134</v>
      </c>
      <c r="C96" s="47">
        <v>545</v>
      </c>
      <c r="D96" s="48">
        <f t="shared" ref="D96:D121" si="40">B96*C96/1000</f>
        <v>73.03</v>
      </c>
      <c r="E96" s="45">
        <f t="shared" si="9"/>
        <v>36032.905929070243</v>
      </c>
      <c r="F96" s="49">
        <v>0.13900000000000001</v>
      </c>
      <c r="G96" s="45">
        <f t="shared" si="10"/>
        <v>2997259.2736800001</v>
      </c>
      <c r="H96" s="55">
        <v>580</v>
      </c>
      <c r="I96" s="56">
        <f t="shared" ref="I96:I121" si="41">B96*H96/1000</f>
        <v>77.72</v>
      </c>
      <c r="J96" s="57">
        <f t="shared" si="11"/>
        <v>36059.885743695319</v>
      </c>
      <c r="K96" s="58">
        <v>0.13900000000000001</v>
      </c>
      <c r="L96" s="59">
        <f t="shared" si="12"/>
        <v>3192132.1504799998</v>
      </c>
      <c r="M96" s="37">
        <f t="shared" si="13"/>
        <v>1168480</v>
      </c>
      <c r="N96" s="37">
        <f t="shared" si="14"/>
        <v>1321240</v>
      </c>
      <c r="O96" s="37">
        <f t="shared" si="15"/>
        <v>396371.99999999994</v>
      </c>
      <c r="P96" s="37">
        <f t="shared" si="16"/>
        <v>310880</v>
      </c>
      <c r="Q96" s="37">
        <f t="shared" ref="Q96:Q121" si="42">$E$7*B96</f>
        <v>5092</v>
      </c>
      <c r="R96" s="37">
        <f t="shared" ref="R96:R121" si="43">$E$8*B96</f>
        <v>1340</v>
      </c>
      <c r="S96" s="37">
        <f t="shared" ref="S96:S121" si="44">$E$9*(B96*4)</f>
        <v>6432</v>
      </c>
      <c r="T96" s="37">
        <f t="shared" si="17"/>
        <v>54404</v>
      </c>
      <c r="U96" s="37">
        <f t="shared" si="18"/>
        <v>38860</v>
      </c>
      <c r="V96" s="37">
        <f t="shared" si="19"/>
        <v>2000</v>
      </c>
      <c r="W96" s="37">
        <f t="shared" si="20"/>
        <v>1500</v>
      </c>
      <c r="X96" s="338">
        <f t="shared" si="31"/>
        <v>93264</v>
      </c>
      <c r="Y96" s="338"/>
      <c r="Z96" s="338"/>
      <c r="AA96" s="338"/>
      <c r="AB96" s="37">
        <f t="shared" ref="AB96:AB121" si="45">$E$20*(B96/2)</f>
        <v>4355</v>
      </c>
      <c r="AC96" s="37">
        <f t="shared" si="22"/>
        <v>7772</v>
      </c>
      <c r="AD96" s="37">
        <f t="shared" ref="AD96:AD121" si="46">$E$22*(B96*1.13)</f>
        <v>64353.499999999993</v>
      </c>
      <c r="AE96" s="37">
        <f t="shared" ref="AE96:AE121" si="47">$E$23*(B96/2)</f>
        <v>23450</v>
      </c>
      <c r="AF96" s="37">
        <f t="shared" si="30"/>
        <v>27202</v>
      </c>
      <c r="AG96" s="37">
        <f t="shared" si="23"/>
        <v>11658</v>
      </c>
      <c r="AH96" s="37">
        <f t="shared" si="24"/>
        <v>132124</v>
      </c>
      <c r="AI96" s="37">
        <f t="shared" si="25"/>
        <v>2349538.5</v>
      </c>
      <c r="AJ96" s="37">
        <f t="shared" si="26"/>
        <v>2502298.5</v>
      </c>
      <c r="AK96" s="36">
        <f t="shared" si="27"/>
        <v>0.12</v>
      </c>
      <c r="AL96" s="37">
        <f t="shared" si="28"/>
        <v>2631483.12</v>
      </c>
      <c r="AM96" s="37">
        <f t="shared" si="29"/>
        <v>2802574.32</v>
      </c>
    </row>
    <row r="97" spans="1:39" ht="20.100000000000001" customHeight="1" x14ac:dyDescent="0.25">
      <c r="A97" s="41">
        <v>66</v>
      </c>
      <c r="B97" s="38">
        <v>136</v>
      </c>
      <c r="C97" s="47">
        <v>545</v>
      </c>
      <c r="D97" s="48">
        <f t="shared" si="40"/>
        <v>74.12</v>
      </c>
      <c r="E97" s="45">
        <f t="shared" ref="E97:E121" si="48">AL97/D97</f>
        <v>36032.116567728008</v>
      </c>
      <c r="F97" s="49">
        <v>0.13900000000000001</v>
      </c>
      <c r="G97" s="45">
        <f t="shared" ref="G97:G121" si="49">(E97+(E97*F97))*D97</f>
        <v>3041927.8467199998</v>
      </c>
      <c r="H97" s="55">
        <v>580</v>
      </c>
      <c r="I97" s="56">
        <f t="shared" si="41"/>
        <v>78.88</v>
      </c>
      <c r="J97" s="57">
        <f t="shared" ref="J97:J121" si="50">AM97/I97</f>
        <v>36059.144016227183</v>
      </c>
      <c r="K97" s="58">
        <v>0.13900000000000001</v>
      </c>
      <c r="L97" s="59">
        <f t="shared" ref="L97:L121" si="51">(J97+(J97*K97))*I97</f>
        <v>3239709.2739200001</v>
      </c>
      <c r="M97" s="37">
        <f t="shared" ref="M97:M121" si="52">$E$2*(D97*1000)</f>
        <v>1185920</v>
      </c>
      <c r="N97" s="37">
        <f t="shared" ref="N97:N121" si="53">$E$3*(I97*1000)</f>
        <v>1340960</v>
      </c>
      <c r="O97" s="37">
        <f t="shared" ref="O97:O121" si="54">$E$4*I97*1000</f>
        <v>402287.99999999994</v>
      </c>
      <c r="P97" s="37">
        <f t="shared" ref="P97:P121" si="55">$E$5*I97</f>
        <v>315520</v>
      </c>
      <c r="Q97" s="37">
        <f t="shared" si="42"/>
        <v>5168</v>
      </c>
      <c r="R97" s="37">
        <f t="shared" si="43"/>
        <v>1360</v>
      </c>
      <c r="S97" s="37">
        <f t="shared" si="44"/>
        <v>6528</v>
      </c>
      <c r="T97" s="37">
        <f t="shared" ref="T97:T121" si="56">$E$10*(I97*1000)</f>
        <v>55216</v>
      </c>
      <c r="U97" s="37">
        <f t="shared" ref="U97:U121" si="57">$E$11*(I97*1000)</f>
        <v>39440</v>
      </c>
      <c r="V97" s="37">
        <f t="shared" ref="V97:V121" si="58">$E$12</f>
        <v>2000</v>
      </c>
      <c r="W97" s="37">
        <f t="shared" ref="W97:W121" si="59">$E$13</f>
        <v>1500</v>
      </c>
      <c r="X97" s="338">
        <f t="shared" si="31"/>
        <v>94656</v>
      </c>
      <c r="Y97" s="338"/>
      <c r="Z97" s="338"/>
      <c r="AA97" s="338"/>
      <c r="AB97" s="37">
        <f t="shared" si="45"/>
        <v>4420</v>
      </c>
      <c r="AC97" s="37">
        <f t="shared" ref="AC97:AC121" si="60">I97*100</f>
        <v>7888</v>
      </c>
      <c r="AD97" s="37">
        <f t="shared" si="46"/>
        <v>65313.999999999993</v>
      </c>
      <c r="AE97" s="37">
        <f t="shared" si="47"/>
        <v>23800</v>
      </c>
      <c r="AF97" s="37">
        <f t="shared" si="30"/>
        <v>27608</v>
      </c>
      <c r="AG97" s="37">
        <f t="shared" ref="AG97:AG121" si="61">$E$25*I97</f>
        <v>11832</v>
      </c>
      <c r="AH97" s="37">
        <f t="shared" ref="AH97:AH121" si="62">$E$26*I97</f>
        <v>134096</v>
      </c>
      <c r="AI97" s="37">
        <f t="shared" ref="AI97:AI121" si="63">SUM(O97:AH97)+M97</f>
        <v>2384554</v>
      </c>
      <c r="AJ97" s="37">
        <f t="shared" ref="AJ97:AJ121" si="64">SUM(N97:AH97)</f>
        <v>2539594</v>
      </c>
      <c r="AK97" s="36">
        <f t="shared" ref="AK97:AK121" si="65">$F$27</f>
        <v>0.12</v>
      </c>
      <c r="AL97" s="37">
        <f t="shared" ref="AL97:AL121" si="66">AI97+(AI97*AK97)</f>
        <v>2670700.48</v>
      </c>
      <c r="AM97" s="37">
        <f t="shared" ref="AM97:AM121" si="67">AJ97+(AJ97*AK97)</f>
        <v>2844345.28</v>
      </c>
    </row>
    <row r="98" spans="1:39" ht="20.100000000000001" customHeight="1" x14ac:dyDescent="0.25">
      <c r="A98" s="41">
        <v>67</v>
      </c>
      <c r="B98" s="38">
        <v>138</v>
      </c>
      <c r="C98" s="47">
        <v>545</v>
      </c>
      <c r="D98" s="48">
        <f t="shared" si="40"/>
        <v>75.209999999999994</v>
      </c>
      <c r="E98" s="45">
        <f t="shared" si="48"/>
        <v>36031.350086424682</v>
      </c>
      <c r="F98" s="49">
        <v>0.13900000000000001</v>
      </c>
      <c r="G98" s="45">
        <f t="shared" si="49"/>
        <v>3086596.4197600004</v>
      </c>
      <c r="H98" s="55">
        <v>580</v>
      </c>
      <c r="I98" s="56">
        <f t="shared" si="41"/>
        <v>80.040000000000006</v>
      </c>
      <c r="J98" s="57">
        <f t="shared" si="50"/>
        <v>36058.423788105945</v>
      </c>
      <c r="K98" s="58">
        <v>0.13900000000000001</v>
      </c>
      <c r="L98" s="59">
        <f t="shared" si="51"/>
        <v>3287286.3973600003</v>
      </c>
      <c r="M98" s="37">
        <f t="shared" si="52"/>
        <v>1203360</v>
      </c>
      <c r="N98" s="37">
        <f t="shared" si="53"/>
        <v>1360680</v>
      </c>
      <c r="O98" s="37">
        <f t="shared" si="54"/>
        <v>408204</v>
      </c>
      <c r="P98" s="37">
        <f t="shared" si="55"/>
        <v>320160</v>
      </c>
      <c r="Q98" s="37">
        <f t="shared" si="42"/>
        <v>5244</v>
      </c>
      <c r="R98" s="37">
        <f t="shared" si="43"/>
        <v>1380</v>
      </c>
      <c r="S98" s="37">
        <f t="shared" si="44"/>
        <v>6624</v>
      </c>
      <c r="T98" s="37">
        <f t="shared" si="56"/>
        <v>56028</v>
      </c>
      <c r="U98" s="37">
        <f t="shared" si="57"/>
        <v>40020</v>
      </c>
      <c r="V98" s="37">
        <f t="shared" si="58"/>
        <v>2000</v>
      </c>
      <c r="W98" s="37">
        <f t="shared" si="59"/>
        <v>1500</v>
      </c>
      <c r="X98" s="338">
        <f t="shared" si="31"/>
        <v>96048.000000000015</v>
      </c>
      <c r="Y98" s="338"/>
      <c r="Z98" s="338"/>
      <c r="AA98" s="338"/>
      <c r="AB98" s="37">
        <f t="shared" si="45"/>
        <v>4485</v>
      </c>
      <c r="AC98" s="37">
        <f t="shared" si="60"/>
        <v>8004.0000000000009</v>
      </c>
      <c r="AD98" s="37">
        <f t="shared" si="46"/>
        <v>66274.5</v>
      </c>
      <c r="AE98" s="37">
        <f t="shared" si="47"/>
        <v>24150</v>
      </c>
      <c r="AF98" s="37">
        <f t="shared" ref="AF98:AF121" si="68">$E$24*I98</f>
        <v>28014.000000000004</v>
      </c>
      <c r="AG98" s="37">
        <f t="shared" si="61"/>
        <v>12006.000000000002</v>
      </c>
      <c r="AH98" s="37">
        <f t="shared" si="62"/>
        <v>136068</v>
      </c>
      <c r="AI98" s="37">
        <f t="shared" si="63"/>
        <v>2419569.5</v>
      </c>
      <c r="AJ98" s="37">
        <f t="shared" si="64"/>
        <v>2576889.5</v>
      </c>
      <c r="AK98" s="36">
        <f t="shared" si="65"/>
        <v>0.12</v>
      </c>
      <c r="AL98" s="37">
        <f t="shared" si="66"/>
        <v>2709917.84</v>
      </c>
      <c r="AM98" s="37">
        <f t="shared" si="67"/>
        <v>2886116.24</v>
      </c>
    </row>
    <row r="99" spans="1:39" ht="20.100000000000001" customHeight="1" x14ac:dyDescent="0.25">
      <c r="A99" s="41">
        <v>68</v>
      </c>
      <c r="B99" s="38">
        <v>140</v>
      </c>
      <c r="C99" s="47">
        <v>545</v>
      </c>
      <c r="D99" s="48">
        <f t="shared" si="40"/>
        <v>76.3</v>
      </c>
      <c r="E99" s="45">
        <f t="shared" si="48"/>
        <v>36030.605504587162</v>
      </c>
      <c r="F99" s="49">
        <v>0.13900000000000001</v>
      </c>
      <c r="G99" s="45">
        <f t="shared" si="49"/>
        <v>3131264.9928000006</v>
      </c>
      <c r="H99" s="55">
        <v>580</v>
      </c>
      <c r="I99" s="56">
        <f t="shared" si="41"/>
        <v>81.2</v>
      </c>
      <c r="J99" s="57">
        <f t="shared" si="50"/>
        <v>36057.724137931036</v>
      </c>
      <c r="K99" s="58">
        <v>0.13900000000000001</v>
      </c>
      <c r="L99" s="59">
        <f t="shared" si="51"/>
        <v>3334863.5208000005</v>
      </c>
      <c r="M99" s="37">
        <f t="shared" si="52"/>
        <v>1220800</v>
      </c>
      <c r="N99" s="37">
        <f t="shared" si="53"/>
        <v>1380400</v>
      </c>
      <c r="O99" s="37">
        <f t="shared" si="54"/>
        <v>414120</v>
      </c>
      <c r="P99" s="37">
        <f t="shared" si="55"/>
        <v>324800</v>
      </c>
      <c r="Q99" s="37">
        <f t="shared" si="42"/>
        <v>5320</v>
      </c>
      <c r="R99" s="37">
        <f t="shared" si="43"/>
        <v>1400</v>
      </c>
      <c r="S99" s="37">
        <f t="shared" si="44"/>
        <v>6720</v>
      </c>
      <c r="T99" s="37">
        <f t="shared" si="56"/>
        <v>56840</v>
      </c>
      <c r="U99" s="37">
        <f t="shared" si="57"/>
        <v>40600</v>
      </c>
      <c r="V99" s="37">
        <f t="shared" si="58"/>
        <v>2000</v>
      </c>
      <c r="W99" s="37">
        <f t="shared" si="59"/>
        <v>1500</v>
      </c>
      <c r="X99" s="338">
        <f t="shared" si="31"/>
        <v>97440</v>
      </c>
      <c r="Y99" s="338"/>
      <c r="Z99" s="338"/>
      <c r="AA99" s="338"/>
      <c r="AB99" s="37">
        <f t="shared" si="45"/>
        <v>4550</v>
      </c>
      <c r="AC99" s="37">
        <f t="shared" si="60"/>
        <v>8120</v>
      </c>
      <c r="AD99" s="37">
        <f t="shared" si="46"/>
        <v>67235</v>
      </c>
      <c r="AE99" s="37">
        <f t="shared" si="47"/>
        <v>24500</v>
      </c>
      <c r="AF99" s="37">
        <f t="shared" si="68"/>
        <v>28420</v>
      </c>
      <c r="AG99" s="37">
        <f t="shared" si="61"/>
        <v>12180</v>
      </c>
      <c r="AH99" s="37">
        <f t="shared" si="62"/>
        <v>138040</v>
      </c>
      <c r="AI99" s="37">
        <f t="shared" si="63"/>
        <v>2454585</v>
      </c>
      <c r="AJ99" s="37">
        <f t="shared" si="64"/>
        <v>2614185</v>
      </c>
      <c r="AK99" s="36">
        <f t="shared" si="65"/>
        <v>0.12</v>
      </c>
      <c r="AL99" s="37">
        <f t="shared" si="66"/>
        <v>2749135.2</v>
      </c>
      <c r="AM99" s="37">
        <f t="shared" si="67"/>
        <v>2927887.2</v>
      </c>
    </row>
    <row r="100" spans="1:39" ht="20.100000000000001" customHeight="1" x14ac:dyDescent="0.25">
      <c r="A100" s="41">
        <v>69</v>
      </c>
      <c r="B100" s="38">
        <v>142</v>
      </c>
      <c r="C100" s="47">
        <v>545</v>
      </c>
      <c r="D100" s="48">
        <f t="shared" si="40"/>
        <v>77.39</v>
      </c>
      <c r="E100" s="45">
        <f t="shared" si="48"/>
        <v>36029.881896885905</v>
      </c>
      <c r="F100" s="49">
        <v>0.13900000000000001</v>
      </c>
      <c r="G100" s="45">
        <f t="shared" si="49"/>
        <v>3175933.5658400003</v>
      </c>
      <c r="H100" s="55">
        <v>580</v>
      </c>
      <c r="I100" s="56">
        <f t="shared" si="41"/>
        <v>82.36</v>
      </c>
      <c r="J100" s="57">
        <f t="shared" si="50"/>
        <v>36057.044196211755</v>
      </c>
      <c r="K100" s="58">
        <v>0.13900000000000001</v>
      </c>
      <c r="L100" s="59">
        <f t="shared" si="51"/>
        <v>3382440.6442399998</v>
      </c>
      <c r="M100" s="37">
        <f t="shared" si="52"/>
        <v>1238240</v>
      </c>
      <c r="N100" s="37">
        <f t="shared" si="53"/>
        <v>1400120</v>
      </c>
      <c r="O100" s="37">
        <f t="shared" si="54"/>
        <v>420035.99999999994</v>
      </c>
      <c r="P100" s="37">
        <f t="shared" si="55"/>
        <v>329440</v>
      </c>
      <c r="Q100" s="37">
        <f t="shared" si="42"/>
        <v>5396</v>
      </c>
      <c r="R100" s="37">
        <f t="shared" si="43"/>
        <v>1420</v>
      </c>
      <c r="S100" s="37">
        <f t="shared" si="44"/>
        <v>6816</v>
      </c>
      <c r="T100" s="37">
        <f t="shared" si="56"/>
        <v>57651.999999999993</v>
      </c>
      <c r="U100" s="37">
        <f t="shared" si="57"/>
        <v>41180</v>
      </c>
      <c r="V100" s="37">
        <f t="shared" si="58"/>
        <v>2000</v>
      </c>
      <c r="W100" s="37">
        <f t="shared" si="59"/>
        <v>1500</v>
      </c>
      <c r="X100" s="338">
        <f t="shared" si="31"/>
        <v>98832</v>
      </c>
      <c r="Y100" s="338"/>
      <c r="Z100" s="338"/>
      <c r="AA100" s="338"/>
      <c r="AB100" s="37">
        <f t="shared" si="45"/>
        <v>4615</v>
      </c>
      <c r="AC100" s="37">
        <f t="shared" si="60"/>
        <v>8236</v>
      </c>
      <c r="AD100" s="37">
        <f t="shared" si="46"/>
        <v>68195.499999999985</v>
      </c>
      <c r="AE100" s="37">
        <f t="shared" si="47"/>
        <v>24850</v>
      </c>
      <c r="AF100" s="37">
        <f t="shared" si="68"/>
        <v>28826</v>
      </c>
      <c r="AG100" s="37">
        <f t="shared" si="61"/>
        <v>12354</v>
      </c>
      <c r="AH100" s="37">
        <f t="shared" si="62"/>
        <v>140012</v>
      </c>
      <c r="AI100" s="37">
        <f t="shared" si="63"/>
        <v>2489600.5</v>
      </c>
      <c r="AJ100" s="37">
        <f t="shared" si="64"/>
        <v>2651480.5</v>
      </c>
      <c r="AK100" s="36">
        <f t="shared" si="65"/>
        <v>0.12</v>
      </c>
      <c r="AL100" s="37">
        <f t="shared" si="66"/>
        <v>2788352.56</v>
      </c>
      <c r="AM100" s="37">
        <f t="shared" si="67"/>
        <v>2969658.16</v>
      </c>
    </row>
    <row r="101" spans="1:39" ht="20.100000000000001" customHeight="1" x14ac:dyDescent="0.25">
      <c r="A101" s="41">
        <v>70</v>
      </c>
      <c r="B101" s="38">
        <v>144</v>
      </c>
      <c r="C101" s="47">
        <v>545</v>
      </c>
      <c r="D101" s="48">
        <f t="shared" si="40"/>
        <v>78.48</v>
      </c>
      <c r="E101" s="45">
        <f t="shared" si="48"/>
        <v>36029.17838939857</v>
      </c>
      <c r="F101" s="49">
        <v>0.13900000000000001</v>
      </c>
      <c r="G101" s="45">
        <f t="shared" si="49"/>
        <v>3220602.1388799995</v>
      </c>
      <c r="H101" s="55">
        <v>580</v>
      </c>
      <c r="I101" s="56">
        <f t="shared" si="41"/>
        <v>83.52</v>
      </c>
      <c r="J101" s="57">
        <f t="shared" si="50"/>
        <v>36056.383141762453</v>
      </c>
      <c r="K101" s="58">
        <v>0.13900000000000001</v>
      </c>
      <c r="L101" s="59">
        <f t="shared" si="51"/>
        <v>3430017.76768</v>
      </c>
      <c r="M101" s="37">
        <f t="shared" si="52"/>
        <v>1255680</v>
      </c>
      <c r="N101" s="37">
        <f t="shared" si="53"/>
        <v>1419840</v>
      </c>
      <c r="O101" s="37">
        <f t="shared" si="54"/>
        <v>425951.99999999994</v>
      </c>
      <c r="P101" s="37">
        <f t="shared" si="55"/>
        <v>334080</v>
      </c>
      <c r="Q101" s="37">
        <f t="shared" si="42"/>
        <v>5472</v>
      </c>
      <c r="R101" s="37">
        <f t="shared" si="43"/>
        <v>1440</v>
      </c>
      <c r="S101" s="37">
        <f t="shared" si="44"/>
        <v>6912</v>
      </c>
      <c r="T101" s="37">
        <f t="shared" si="56"/>
        <v>58463.999999999993</v>
      </c>
      <c r="U101" s="37">
        <f t="shared" si="57"/>
        <v>41760</v>
      </c>
      <c r="V101" s="37">
        <f t="shared" si="58"/>
        <v>2000</v>
      </c>
      <c r="W101" s="37">
        <f t="shared" si="59"/>
        <v>1500</v>
      </c>
      <c r="X101" s="338">
        <f t="shared" si="31"/>
        <v>100224</v>
      </c>
      <c r="Y101" s="338"/>
      <c r="Z101" s="338"/>
      <c r="AA101" s="338"/>
      <c r="AB101" s="37">
        <f t="shared" si="45"/>
        <v>4680</v>
      </c>
      <c r="AC101" s="37">
        <f t="shared" si="60"/>
        <v>8352</v>
      </c>
      <c r="AD101" s="37">
        <f t="shared" si="46"/>
        <v>69155.999999999985</v>
      </c>
      <c r="AE101" s="37">
        <f t="shared" si="47"/>
        <v>25200</v>
      </c>
      <c r="AF101" s="37">
        <f t="shared" si="68"/>
        <v>29232</v>
      </c>
      <c r="AG101" s="37">
        <f t="shared" si="61"/>
        <v>12528</v>
      </c>
      <c r="AH101" s="37">
        <f t="shared" si="62"/>
        <v>141984</v>
      </c>
      <c r="AI101" s="37">
        <f t="shared" si="63"/>
        <v>2524616</v>
      </c>
      <c r="AJ101" s="37">
        <f t="shared" si="64"/>
        <v>2688776</v>
      </c>
      <c r="AK101" s="36">
        <f t="shared" si="65"/>
        <v>0.12</v>
      </c>
      <c r="AL101" s="37">
        <f t="shared" si="66"/>
        <v>2827569.92</v>
      </c>
      <c r="AM101" s="37">
        <f t="shared" si="67"/>
        <v>3011429.12</v>
      </c>
    </row>
    <row r="102" spans="1:39" ht="20.100000000000001" customHeight="1" x14ac:dyDescent="0.25">
      <c r="A102" s="41">
        <v>71</v>
      </c>
      <c r="B102" s="38">
        <v>146</v>
      </c>
      <c r="C102" s="47">
        <v>545</v>
      </c>
      <c r="D102" s="48">
        <f t="shared" si="40"/>
        <v>79.569999999999993</v>
      </c>
      <c r="E102" s="45">
        <f t="shared" si="48"/>
        <v>36028.494156088978</v>
      </c>
      <c r="F102" s="49">
        <v>0.13900000000000001</v>
      </c>
      <c r="G102" s="45">
        <f t="shared" si="49"/>
        <v>3265270.7119199997</v>
      </c>
      <c r="H102" s="55">
        <v>580</v>
      </c>
      <c r="I102" s="56">
        <f t="shared" si="41"/>
        <v>84.68</v>
      </c>
      <c r="J102" s="57">
        <f t="shared" si="50"/>
        <v>36055.740198393949</v>
      </c>
      <c r="K102" s="58">
        <v>0.13900000000000001</v>
      </c>
      <c r="L102" s="59">
        <f t="shared" si="51"/>
        <v>3477594.8911199993</v>
      </c>
      <c r="M102" s="37">
        <f t="shared" si="52"/>
        <v>1273120</v>
      </c>
      <c r="N102" s="37">
        <f t="shared" si="53"/>
        <v>1439560</v>
      </c>
      <c r="O102" s="37">
        <f t="shared" si="54"/>
        <v>431868</v>
      </c>
      <c r="P102" s="37">
        <f t="shared" si="55"/>
        <v>338720</v>
      </c>
      <c r="Q102" s="37">
        <f t="shared" si="42"/>
        <v>5548</v>
      </c>
      <c r="R102" s="37">
        <f t="shared" si="43"/>
        <v>1460</v>
      </c>
      <c r="S102" s="37">
        <f t="shared" si="44"/>
        <v>7008</v>
      </c>
      <c r="T102" s="37">
        <f t="shared" si="56"/>
        <v>59275.999999999993</v>
      </c>
      <c r="U102" s="37">
        <f t="shared" si="57"/>
        <v>42340</v>
      </c>
      <c r="V102" s="37">
        <f t="shared" si="58"/>
        <v>2000</v>
      </c>
      <c r="W102" s="37">
        <f t="shared" si="59"/>
        <v>1500</v>
      </c>
      <c r="X102" s="338">
        <f t="shared" si="31"/>
        <v>101616.00000000001</v>
      </c>
      <c r="Y102" s="338"/>
      <c r="Z102" s="338"/>
      <c r="AA102" s="338"/>
      <c r="AB102" s="37">
        <f t="shared" si="45"/>
        <v>4745</v>
      </c>
      <c r="AC102" s="37">
        <f t="shared" si="60"/>
        <v>8468</v>
      </c>
      <c r="AD102" s="37">
        <f t="shared" si="46"/>
        <v>70116.5</v>
      </c>
      <c r="AE102" s="37">
        <f t="shared" si="47"/>
        <v>25550</v>
      </c>
      <c r="AF102" s="37">
        <f t="shared" si="68"/>
        <v>29638.000000000004</v>
      </c>
      <c r="AG102" s="37">
        <f t="shared" si="61"/>
        <v>12702.000000000002</v>
      </c>
      <c r="AH102" s="37">
        <f t="shared" si="62"/>
        <v>143956</v>
      </c>
      <c r="AI102" s="37">
        <f t="shared" si="63"/>
        <v>2559631.5</v>
      </c>
      <c r="AJ102" s="37">
        <f t="shared" si="64"/>
        <v>2726071.5</v>
      </c>
      <c r="AK102" s="36">
        <f t="shared" si="65"/>
        <v>0.12</v>
      </c>
      <c r="AL102" s="37">
        <f t="shared" si="66"/>
        <v>2866787.28</v>
      </c>
      <c r="AM102" s="37">
        <f t="shared" si="67"/>
        <v>3053200.08</v>
      </c>
    </row>
    <row r="103" spans="1:39" ht="20.100000000000001" customHeight="1" x14ac:dyDescent="0.25">
      <c r="A103" s="41">
        <v>72</v>
      </c>
      <c r="B103" s="38">
        <v>148</v>
      </c>
      <c r="C103" s="47">
        <v>545</v>
      </c>
      <c r="D103" s="48">
        <f t="shared" si="40"/>
        <v>80.66</v>
      </c>
      <c r="E103" s="45">
        <f t="shared" si="48"/>
        <v>36027.828415571537</v>
      </c>
      <c r="F103" s="49">
        <v>0.13900000000000001</v>
      </c>
      <c r="G103" s="45">
        <f t="shared" si="49"/>
        <v>3309939.2849599998</v>
      </c>
      <c r="H103" s="55">
        <v>580</v>
      </c>
      <c r="I103" s="56">
        <f t="shared" si="41"/>
        <v>85.84</v>
      </c>
      <c r="J103" s="57">
        <f t="shared" si="50"/>
        <v>36055.11463187325</v>
      </c>
      <c r="K103" s="58">
        <v>0.13900000000000001</v>
      </c>
      <c r="L103" s="59">
        <f t="shared" si="51"/>
        <v>3525172.01456</v>
      </c>
      <c r="M103" s="37">
        <f t="shared" si="52"/>
        <v>1290560</v>
      </c>
      <c r="N103" s="37">
        <f t="shared" si="53"/>
        <v>1459280</v>
      </c>
      <c r="O103" s="37">
        <f t="shared" si="54"/>
        <v>437784</v>
      </c>
      <c r="P103" s="37">
        <f t="shared" si="55"/>
        <v>343360</v>
      </c>
      <c r="Q103" s="37">
        <f t="shared" si="42"/>
        <v>5624</v>
      </c>
      <c r="R103" s="37">
        <f t="shared" si="43"/>
        <v>1480</v>
      </c>
      <c r="S103" s="37">
        <f t="shared" si="44"/>
        <v>7104</v>
      </c>
      <c r="T103" s="37">
        <f t="shared" si="56"/>
        <v>60087.999999999993</v>
      </c>
      <c r="U103" s="37">
        <f t="shared" si="57"/>
        <v>42920</v>
      </c>
      <c r="V103" s="37">
        <f t="shared" si="58"/>
        <v>2000</v>
      </c>
      <c r="W103" s="37">
        <f t="shared" si="59"/>
        <v>1500</v>
      </c>
      <c r="X103" s="338">
        <f t="shared" si="31"/>
        <v>103008</v>
      </c>
      <c r="Y103" s="338"/>
      <c r="Z103" s="338"/>
      <c r="AA103" s="338"/>
      <c r="AB103" s="37">
        <f t="shared" si="45"/>
        <v>4810</v>
      </c>
      <c r="AC103" s="37">
        <f t="shared" si="60"/>
        <v>8584</v>
      </c>
      <c r="AD103" s="37">
        <f t="shared" si="46"/>
        <v>71076.999999999985</v>
      </c>
      <c r="AE103" s="37">
        <f t="shared" si="47"/>
        <v>25900</v>
      </c>
      <c r="AF103" s="37">
        <f t="shared" si="68"/>
        <v>30044</v>
      </c>
      <c r="AG103" s="37">
        <f t="shared" si="61"/>
        <v>12876</v>
      </c>
      <c r="AH103" s="37">
        <f t="shared" si="62"/>
        <v>145928</v>
      </c>
      <c r="AI103" s="37">
        <f t="shared" si="63"/>
        <v>2594647</v>
      </c>
      <c r="AJ103" s="37">
        <f t="shared" si="64"/>
        <v>2763367</v>
      </c>
      <c r="AK103" s="36">
        <f t="shared" si="65"/>
        <v>0.12</v>
      </c>
      <c r="AL103" s="37">
        <f t="shared" si="66"/>
        <v>2906004.64</v>
      </c>
      <c r="AM103" s="37">
        <f t="shared" si="67"/>
        <v>3094971.04</v>
      </c>
    </row>
    <row r="104" spans="1:39" ht="20.100000000000001" customHeight="1" x14ac:dyDescent="0.25">
      <c r="A104" s="41">
        <v>73</v>
      </c>
      <c r="B104" s="38">
        <v>150</v>
      </c>
      <c r="C104" s="47">
        <v>545</v>
      </c>
      <c r="D104" s="48">
        <f t="shared" si="40"/>
        <v>81.75</v>
      </c>
      <c r="E104" s="45">
        <f t="shared" si="48"/>
        <v>36027.180428134554</v>
      </c>
      <c r="F104" s="49">
        <v>0.13900000000000001</v>
      </c>
      <c r="G104" s="45">
        <f t="shared" si="49"/>
        <v>3354607.8579999995</v>
      </c>
      <c r="H104" s="55">
        <v>580</v>
      </c>
      <c r="I104" s="56">
        <f t="shared" si="41"/>
        <v>87</v>
      </c>
      <c r="J104" s="57">
        <f t="shared" si="50"/>
        <v>36054.505747126437</v>
      </c>
      <c r="K104" s="58">
        <v>0.13900000000000001</v>
      </c>
      <c r="L104" s="59">
        <f t="shared" si="51"/>
        <v>3572749.1379999998</v>
      </c>
      <c r="M104" s="37">
        <f t="shared" si="52"/>
        <v>1308000</v>
      </c>
      <c r="N104" s="37">
        <f t="shared" si="53"/>
        <v>1479000</v>
      </c>
      <c r="O104" s="37">
        <f t="shared" si="54"/>
        <v>443700</v>
      </c>
      <c r="P104" s="37">
        <f t="shared" si="55"/>
        <v>348000</v>
      </c>
      <c r="Q104" s="37">
        <f t="shared" si="42"/>
        <v>5700</v>
      </c>
      <c r="R104" s="37">
        <f t="shared" si="43"/>
        <v>1500</v>
      </c>
      <c r="S104" s="37">
        <f t="shared" si="44"/>
        <v>7200</v>
      </c>
      <c r="T104" s="37">
        <f t="shared" si="56"/>
        <v>60899.999999999993</v>
      </c>
      <c r="U104" s="37">
        <f t="shared" si="57"/>
        <v>43500</v>
      </c>
      <c r="V104" s="37">
        <f t="shared" si="58"/>
        <v>2000</v>
      </c>
      <c r="W104" s="37">
        <f t="shared" si="59"/>
        <v>1500</v>
      </c>
      <c r="X104" s="338">
        <f t="shared" si="31"/>
        <v>104400</v>
      </c>
      <c r="Y104" s="338"/>
      <c r="Z104" s="338"/>
      <c r="AA104" s="338"/>
      <c r="AB104" s="37">
        <f t="shared" si="45"/>
        <v>4875</v>
      </c>
      <c r="AC104" s="37">
        <f t="shared" si="60"/>
        <v>8700</v>
      </c>
      <c r="AD104" s="37">
        <f t="shared" si="46"/>
        <v>72037.499999999985</v>
      </c>
      <c r="AE104" s="37">
        <f t="shared" si="47"/>
        <v>26250</v>
      </c>
      <c r="AF104" s="37">
        <f t="shared" si="68"/>
        <v>30450</v>
      </c>
      <c r="AG104" s="37">
        <f t="shared" si="61"/>
        <v>13050</v>
      </c>
      <c r="AH104" s="37">
        <f t="shared" si="62"/>
        <v>147900</v>
      </c>
      <c r="AI104" s="37">
        <f t="shared" si="63"/>
        <v>2629662.5</v>
      </c>
      <c r="AJ104" s="37">
        <f t="shared" si="64"/>
        <v>2800662.5</v>
      </c>
      <c r="AK104" s="36">
        <f t="shared" si="65"/>
        <v>0.12</v>
      </c>
      <c r="AL104" s="37">
        <f t="shared" si="66"/>
        <v>2945222</v>
      </c>
      <c r="AM104" s="37">
        <f t="shared" si="67"/>
        <v>3136742</v>
      </c>
    </row>
    <row r="105" spans="1:39" ht="20.100000000000001" customHeight="1" x14ac:dyDescent="0.25">
      <c r="A105" s="41">
        <v>74</v>
      </c>
      <c r="B105" s="38">
        <v>152</v>
      </c>
      <c r="C105" s="47">
        <v>545</v>
      </c>
      <c r="D105" s="48">
        <f t="shared" si="40"/>
        <v>82.84</v>
      </c>
      <c r="E105" s="45">
        <f t="shared" si="48"/>
        <v>36026.549492998551</v>
      </c>
      <c r="F105" s="49">
        <v>0.13900000000000001</v>
      </c>
      <c r="G105" s="45">
        <f t="shared" si="49"/>
        <v>3399276.4310400002</v>
      </c>
      <c r="H105" s="55">
        <v>580</v>
      </c>
      <c r="I105" s="56">
        <f t="shared" si="41"/>
        <v>88.16</v>
      </c>
      <c r="J105" s="57">
        <f t="shared" si="50"/>
        <v>36053.91288566243</v>
      </c>
      <c r="K105" s="58">
        <v>0.13900000000000001</v>
      </c>
      <c r="L105" s="59">
        <f t="shared" si="51"/>
        <v>3620326.2614399996</v>
      </c>
      <c r="M105" s="37">
        <f t="shared" si="52"/>
        <v>1325440</v>
      </c>
      <c r="N105" s="37">
        <f t="shared" si="53"/>
        <v>1498720</v>
      </c>
      <c r="O105" s="37">
        <f t="shared" si="54"/>
        <v>449615.99999999994</v>
      </c>
      <c r="P105" s="37">
        <f t="shared" si="55"/>
        <v>352640</v>
      </c>
      <c r="Q105" s="37">
        <f t="shared" si="42"/>
        <v>5776</v>
      </c>
      <c r="R105" s="37">
        <f t="shared" si="43"/>
        <v>1520</v>
      </c>
      <c r="S105" s="37">
        <f t="shared" si="44"/>
        <v>7296</v>
      </c>
      <c r="T105" s="37">
        <f t="shared" si="56"/>
        <v>61711.999999999993</v>
      </c>
      <c r="U105" s="37">
        <f t="shared" si="57"/>
        <v>44080</v>
      </c>
      <c r="V105" s="37">
        <f t="shared" si="58"/>
        <v>2000</v>
      </c>
      <c r="W105" s="37">
        <f t="shared" si="59"/>
        <v>1500</v>
      </c>
      <c r="X105" s="338">
        <f t="shared" si="31"/>
        <v>105792</v>
      </c>
      <c r="Y105" s="338"/>
      <c r="Z105" s="338"/>
      <c r="AA105" s="338"/>
      <c r="AB105" s="37">
        <f t="shared" si="45"/>
        <v>4940</v>
      </c>
      <c r="AC105" s="37">
        <f t="shared" si="60"/>
        <v>8816</v>
      </c>
      <c r="AD105" s="37">
        <f t="shared" si="46"/>
        <v>72998</v>
      </c>
      <c r="AE105" s="37">
        <f t="shared" si="47"/>
        <v>26600</v>
      </c>
      <c r="AF105" s="37">
        <f t="shared" si="68"/>
        <v>30856</v>
      </c>
      <c r="AG105" s="37">
        <f t="shared" si="61"/>
        <v>13224</v>
      </c>
      <c r="AH105" s="37">
        <f t="shared" si="62"/>
        <v>149872</v>
      </c>
      <c r="AI105" s="37">
        <f t="shared" si="63"/>
        <v>2664678</v>
      </c>
      <c r="AJ105" s="37">
        <f t="shared" si="64"/>
        <v>2837958</v>
      </c>
      <c r="AK105" s="36">
        <f t="shared" si="65"/>
        <v>0.12</v>
      </c>
      <c r="AL105" s="37">
        <f t="shared" si="66"/>
        <v>2984439.36</v>
      </c>
      <c r="AM105" s="37">
        <f t="shared" si="67"/>
        <v>3178512.96</v>
      </c>
    </row>
    <row r="106" spans="1:39" ht="20.100000000000001" customHeight="1" x14ac:dyDescent="0.25">
      <c r="A106" s="41">
        <v>75</v>
      </c>
      <c r="B106" s="38">
        <v>154</v>
      </c>
      <c r="C106" s="47">
        <v>545</v>
      </c>
      <c r="D106" s="48">
        <f t="shared" si="40"/>
        <v>83.93</v>
      </c>
      <c r="E106" s="45">
        <f t="shared" si="48"/>
        <v>36025.934945788147</v>
      </c>
      <c r="F106" s="49">
        <v>0.13900000000000001</v>
      </c>
      <c r="G106" s="45">
        <f t="shared" si="49"/>
        <v>3443945.0040799994</v>
      </c>
      <c r="H106" s="55">
        <v>580</v>
      </c>
      <c r="I106" s="56">
        <f t="shared" si="41"/>
        <v>89.32</v>
      </c>
      <c r="J106" s="57">
        <f t="shared" si="50"/>
        <v>36053.335423197495</v>
      </c>
      <c r="K106" s="58">
        <v>0.13900000000000001</v>
      </c>
      <c r="L106" s="59">
        <f t="shared" si="51"/>
        <v>3667903.3848800003</v>
      </c>
      <c r="M106" s="37">
        <f t="shared" si="52"/>
        <v>1342880</v>
      </c>
      <c r="N106" s="37">
        <f t="shared" si="53"/>
        <v>1518440</v>
      </c>
      <c r="O106" s="37">
        <f t="shared" si="54"/>
        <v>455531.99999999994</v>
      </c>
      <c r="P106" s="37">
        <f t="shared" si="55"/>
        <v>357280</v>
      </c>
      <c r="Q106" s="37">
        <f t="shared" si="42"/>
        <v>5852</v>
      </c>
      <c r="R106" s="37">
        <f t="shared" si="43"/>
        <v>1540</v>
      </c>
      <c r="S106" s="37">
        <f t="shared" si="44"/>
        <v>7392</v>
      </c>
      <c r="T106" s="37">
        <f t="shared" si="56"/>
        <v>62523.999999999993</v>
      </c>
      <c r="U106" s="37">
        <f t="shared" si="57"/>
        <v>44660</v>
      </c>
      <c r="V106" s="37">
        <f t="shared" si="58"/>
        <v>2000</v>
      </c>
      <c r="W106" s="37">
        <f t="shared" si="59"/>
        <v>1500</v>
      </c>
      <c r="X106" s="338">
        <f t="shared" si="31"/>
        <v>107183.99999999999</v>
      </c>
      <c r="Y106" s="338"/>
      <c r="Z106" s="338"/>
      <c r="AA106" s="338"/>
      <c r="AB106" s="37">
        <f t="shared" si="45"/>
        <v>5005</v>
      </c>
      <c r="AC106" s="37">
        <f t="shared" si="60"/>
        <v>8932</v>
      </c>
      <c r="AD106" s="37">
        <f t="shared" si="46"/>
        <v>73958.499999999985</v>
      </c>
      <c r="AE106" s="37">
        <f t="shared" si="47"/>
        <v>26950</v>
      </c>
      <c r="AF106" s="37">
        <f t="shared" si="68"/>
        <v>31261.999999999996</v>
      </c>
      <c r="AG106" s="37">
        <f t="shared" si="61"/>
        <v>13397.999999999998</v>
      </c>
      <c r="AH106" s="37">
        <f t="shared" si="62"/>
        <v>151844</v>
      </c>
      <c r="AI106" s="37">
        <f t="shared" si="63"/>
        <v>2699693.5</v>
      </c>
      <c r="AJ106" s="37">
        <f t="shared" si="64"/>
        <v>2875253.5</v>
      </c>
      <c r="AK106" s="36">
        <f t="shared" si="65"/>
        <v>0.12</v>
      </c>
      <c r="AL106" s="37">
        <f t="shared" si="66"/>
        <v>3023656.7199999997</v>
      </c>
      <c r="AM106" s="37">
        <f t="shared" si="67"/>
        <v>3220283.92</v>
      </c>
    </row>
    <row r="107" spans="1:39" ht="20.100000000000001" customHeight="1" x14ac:dyDescent="0.25">
      <c r="A107" s="41">
        <v>76</v>
      </c>
      <c r="B107" s="38">
        <v>156</v>
      </c>
      <c r="C107" s="47">
        <v>545</v>
      </c>
      <c r="D107" s="48">
        <f t="shared" si="40"/>
        <v>85.02</v>
      </c>
      <c r="E107" s="45">
        <f t="shared" si="48"/>
        <v>36025.336156198544</v>
      </c>
      <c r="F107" s="49">
        <v>0.13900000000000001</v>
      </c>
      <c r="G107" s="45">
        <f t="shared" si="49"/>
        <v>3488613.57712</v>
      </c>
      <c r="H107" s="55">
        <v>580</v>
      </c>
      <c r="I107" s="56">
        <f t="shared" si="41"/>
        <v>90.48</v>
      </c>
      <c r="J107" s="57">
        <f t="shared" si="50"/>
        <v>36052.772767462418</v>
      </c>
      <c r="K107" s="58">
        <v>0.13900000000000001</v>
      </c>
      <c r="L107" s="59">
        <f t="shared" si="51"/>
        <v>3715480.5083199996</v>
      </c>
      <c r="M107" s="37">
        <f t="shared" si="52"/>
        <v>1360320</v>
      </c>
      <c r="N107" s="37">
        <f t="shared" si="53"/>
        <v>1538160</v>
      </c>
      <c r="O107" s="37">
        <f t="shared" si="54"/>
        <v>461448</v>
      </c>
      <c r="P107" s="37">
        <f t="shared" si="55"/>
        <v>361920</v>
      </c>
      <c r="Q107" s="37">
        <f t="shared" si="42"/>
        <v>5928</v>
      </c>
      <c r="R107" s="37">
        <f t="shared" si="43"/>
        <v>1560</v>
      </c>
      <c r="S107" s="37">
        <f t="shared" si="44"/>
        <v>7488</v>
      </c>
      <c r="T107" s="37">
        <f t="shared" si="56"/>
        <v>63335.999999999993</v>
      </c>
      <c r="U107" s="37">
        <f t="shared" si="57"/>
        <v>45240</v>
      </c>
      <c r="V107" s="37">
        <f t="shared" si="58"/>
        <v>2000</v>
      </c>
      <c r="W107" s="37">
        <f t="shared" si="59"/>
        <v>1500</v>
      </c>
      <c r="X107" s="338">
        <f t="shared" si="31"/>
        <v>108576</v>
      </c>
      <c r="Y107" s="338"/>
      <c r="Z107" s="338"/>
      <c r="AA107" s="338"/>
      <c r="AB107" s="37">
        <f t="shared" si="45"/>
        <v>5070</v>
      </c>
      <c r="AC107" s="37">
        <f t="shared" si="60"/>
        <v>9048</v>
      </c>
      <c r="AD107" s="37">
        <f t="shared" si="46"/>
        <v>74918.999999999985</v>
      </c>
      <c r="AE107" s="37">
        <f t="shared" si="47"/>
        <v>27300</v>
      </c>
      <c r="AF107" s="37">
        <f t="shared" si="68"/>
        <v>31668</v>
      </c>
      <c r="AG107" s="37">
        <f t="shared" si="61"/>
        <v>13572</v>
      </c>
      <c r="AH107" s="37">
        <f t="shared" si="62"/>
        <v>153816</v>
      </c>
      <c r="AI107" s="37">
        <f t="shared" si="63"/>
        <v>2734709</v>
      </c>
      <c r="AJ107" s="37">
        <f t="shared" si="64"/>
        <v>2912549</v>
      </c>
      <c r="AK107" s="36">
        <f t="shared" si="65"/>
        <v>0.12</v>
      </c>
      <c r="AL107" s="37">
        <f t="shared" si="66"/>
        <v>3062874.08</v>
      </c>
      <c r="AM107" s="37">
        <f t="shared" si="67"/>
        <v>3262054.88</v>
      </c>
    </row>
    <row r="108" spans="1:39" ht="20.100000000000001" customHeight="1" x14ac:dyDescent="0.25">
      <c r="A108" s="41">
        <v>77</v>
      </c>
      <c r="B108" s="38">
        <v>158</v>
      </c>
      <c r="C108" s="47">
        <v>545</v>
      </c>
      <c r="D108" s="48">
        <f t="shared" si="40"/>
        <v>86.11</v>
      </c>
      <c r="E108" s="45">
        <f t="shared" si="48"/>
        <v>36024.752525839045</v>
      </c>
      <c r="F108" s="49">
        <v>0.13900000000000001</v>
      </c>
      <c r="G108" s="45">
        <f t="shared" si="49"/>
        <v>3533282.1501600002</v>
      </c>
      <c r="H108" s="55">
        <v>580</v>
      </c>
      <c r="I108" s="56">
        <f t="shared" si="41"/>
        <v>91.64</v>
      </c>
      <c r="J108" s="57">
        <f t="shared" si="50"/>
        <v>36052.224356176339</v>
      </c>
      <c r="K108" s="58">
        <v>0.13900000000000001</v>
      </c>
      <c r="L108" s="59">
        <f t="shared" si="51"/>
        <v>3763057.6317599998</v>
      </c>
      <c r="M108" s="37">
        <f t="shared" si="52"/>
        <v>1377760</v>
      </c>
      <c r="N108" s="37">
        <f t="shared" si="53"/>
        <v>1557880</v>
      </c>
      <c r="O108" s="37">
        <f t="shared" si="54"/>
        <v>467364</v>
      </c>
      <c r="P108" s="37">
        <f t="shared" si="55"/>
        <v>366560</v>
      </c>
      <c r="Q108" s="37">
        <f t="shared" si="42"/>
        <v>6004</v>
      </c>
      <c r="R108" s="37">
        <f t="shared" si="43"/>
        <v>1580</v>
      </c>
      <c r="S108" s="37">
        <f t="shared" si="44"/>
        <v>7584</v>
      </c>
      <c r="T108" s="37">
        <f t="shared" si="56"/>
        <v>64147.999999999993</v>
      </c>
      <c r="U108" s="37">
        <f t="shared" si="57"/>
        <v>45820</v>
      </c>
      <c r="V108" s="37">
        <f t="shared" si="58"/>
        <v>2000</v>
      </c>
      <c r="W108" s="37">
        <f t="shared" si="59"/>
        <v>1500</v>
      </c>
      <c r="X108" s="338">
        <f t="shared" si="31"/>
        <v>109968</v>
      </c>
      <c r="Y108" s="338"/>
      <c r="Z108" s="338"/>
      <c r="AA108" s="338"/>
      <c r="AB108" s="37">
        <f t="shared" si="45"/>
        <v>5135</v>
      </c>
      <c r="AC108" s="37">
        <f t="shared" si="60"/>
        <v>9164</v>
      </c>
      <c r="AD108" s="37">
        <f t="shared" si="46"/>
        <v>75879.5</v>
      </c>
      <c r="AE108" s="37">
        <f t="shared" si="47"/>
        <v>27650</v>
      </c>
      <c r="AF108" s="37">
        <f t="shared" si="68"/>
        <v>32074</v>
      </c>
      <c r="AG108" s="37">
        <f t="shared" si="61"/>
        <v>13746</v>
      </c>
      <c r="AH108" s="37">
        <f t="shared" si="62"/>
        <v>155788</v>
      </c>
      <c r="AI108" s="37">
        <f t="shared" si="63"/>
        <v>2769724.5</v>
      </c>
      <c r="AJ108" s="37">
        <f t="shared" si="64"/>
        <v>2949844.5</v>
      </c>
      <c r="AK108" s="36">
        <f t="shared" si="65"/>
        <v>0.12</v>
      </c>
      <c r="AL108" s="37">
        <f t="shared" si="66"/>
        <v>3102091.44</v>
      </c>
      <c r="AM108" s="37">
        <f t="shared" si="67"/>
        <v>3303825.84</v>
      </c>
    </row>
    <row r="109" spans="1:39" ht="20.100000000000001" customHeight="1" x14ac:dyDescent="0.25">
      <c r="A109" s="41">
        <v>78</v>
      </c>
      <c r="B109" s="38">
        <v>160</v>
      </c>
      <c r="C109" s="47">
        <v>545</v>
      </c>
      <c r="D109" s="48">
        <f t="shared" si="40"/>
        <v>87.2</v>
      </c>
      <c r="E109" s="45">
        <f t="shared" si="48"/>
        <v>36024.183486238529</v>
      </c>
      <c r="F109" s="49">
        <v>0.13900000000000001</v>
      </c>
      <c r="G109" s="45">
        <f t="shared" si="49"/>
        <v>3577950.7231999999</v>
      </c>
      <c r="H109" s="55">
        <v>580</v>
      </c>
      <c r="I109" s="56">
        <f t="shared" si="41"/>
        <v>92.8</v>
      </c>
      <c r="J109" s="57">
        <f t="shared" si="50"/>
        <v>36051.689655172413</v>
      </c>
      <c r="K109" s="58">
        <v>0.13900000000000001</v>
      </c>
      <c r="L109" s="59">
        <f t="shared" si="51"/>
        <v>3810634.7551999995</v>
      </c>
      <c r="M109" s="37">
        <f t="shared" si="52"/>
        <v>1395200</v>
      </c>
      <c r="N109" s="37">
        <f t="shared" si="53"/>
        <v>1577600</v>
      </c>
      <c r="O109" s="37">
        <f t="shared" si="54"/>
        <v>473280</v>
      </c>
      <c r="P109" s="37">
        <f t="shared" si="55"/>
        <v>371200</v>
      </c>
      <c r="Q109" s="37">
        <f t="shared" si="42"/>
        <v>6080</v>
      </c>
      <c r="R109" s="37">
        <f t="shared" si="43"/>
        <v>1600</v>
      </c>
      <c r="S109" s="37">
        <f t="shared" si="44"/>
        <v>7680</v>
      </c>
      <c r="T109" s="37">
        <f t="shared" si="56"/>
        <v>64959.999999999993</v>
      </c>
      <c r="U109" s="37">
        <f t="shared" si="57"/>
        <v>46400</v>
      </c>
      <c r="V109" s="37">
        <f t="shared" si="58"/>
        <v>2000</v>
      </c>
      <c r="W109" s="37">
        <f t="shared" si="59"/>
        <v>1500</v>
      </c>
      <c r="X109" s="338">
        <f t="shared" si="31"/>
        <v>111360</v>
      </c>
      <c r="Y109" s="338"/>
      <c r="Z109" s="338"/>
      <c r="AA109" s="338"/>
      <c r="AB109" s="37">
        <f t="shared" si="45"/>
        <v>5200</v>
      </c>
      <c r="AC109" s="37">
        <f t="shared" si="60"/>
        <v>9280</v>
      </c>
      <c r="AD109" s="37">
        <f t="shared" si="46"/>
        <v>76840</v>
      </c>
      <c r="AE109" s="37">
        <f t="shared" si="47"/>
        <v>28000</v>
      </c>
      <c r="AF109" s="37">
        <f t="shared" si="68"/>
        <v>32480</v>
      </c>
      <c r="AG109" s="37">
        <f t="shared" si="61"/>
        <v>13920</v>
      </c>
      <c r="AH109" s="37">
        <f t="shared" si="62"/>
        <v>157760</v>
      </c>
      <c r="AI109" s="37">
        <f t="shared" si="63"/>
        <v>2804740</v>
      </c>
      <c r="AJ109" s="37">
        <f t="shared" si="64"/>
        <v>2987140</v>
      </c>
      <c r="AK109" s="36">
        <f t="shared" si="65"/>
        <v>0.12</v>
      </c>
      <c r="AL109" s="37">
        <f t="shared" si="66"/>
        <v>3141308.8</v>
      </c>
      <c r="AM109" s="37">
        <f t="shared" si="67"/>
        <v>3345596.8</v>
      </c>
    </row>
    <row r="110" spans="1:39" ht="20.100000000000001" customHeight="1" x14ac:dyDescent="0.25">
      <c r="A110" s="41">
        <v>79</v>
      </c>
      <c r="B110" s="38">
        <v>162</v>
      </c>
      <c r="C110" s="47">
        <v>545</v>
      </c>
      <c r="D110" s="48">
        <f t="shared" si="40"/>
        <v>88.29</v>
      </c>
      <c r="E110" s="45">
        <f t="shared" si="48"/>
        <v>36023.628496998528</v>
      </c>
      <c r="F110" s="49">
        <v>0.13900000000000001</v>
      </c>
      <c r="G110" s="45">
        <f t="shared" si="49"/>
        <v>3622619.2962400005</v>
      </c>
      <c r="H110" s="55">
        <v>580</v>
      </c>
      <c r="I110" s="56">
        <f t="shared" si="41"/>
        <v>93.96</v>
      </c>
      <c r="J110" s="57">
        <f t="shared" si="50"/>
        <v>36051.16815666241</v>
      </c>
      <c r="K110" s="58">
        <v>0.13900000000000001</v>
      </c>
      <c r="L110" s="59">
        <f t="shared" si="51"/>
        <v>3858211.8786399993</v>
      </c>
      <c r="M110" s="37">
        <f t="shared" si="52"/>
        <v>1412640</v>
      </c>
      <c r="N110" s="37">
        <f t="shared" si="53"/>
        <v>1597320</v>
      </c>
      <c r="O110" s="37">
        <f t="shared" si="54"/>
        <v>479195.99999999988</v>
      </c>
      <c r="P110" s="37">
        <f t="shared" si="55"/>
        <v>375840</v>
      </c>
      <c r="Q110" s="37">
        <f t="shared" si="42"/>
        <v>6156</v>
      </c>
      <c r="R110" s="37">
        <f t="shared" si="43"/>
        <v>1620</v>
      </c>
      <c r="S110" s="37">
        <f t="shared" si="44"/>
        <v>7776</v>
      </c>
      <c r="T110" s="37">
        <f t="shared" si="56"/>
        <v>65772</v>
      </c>
      <c r="U110" s="37">
        <f t="shared" si="57"/>
        <v>46980</v>
      </c>
      <c r="V110" s="37">
        <f t="shared" si="58"/>
        <v>2000</v>
      </c>
      <c r="W110" s="37">
        <f t="shared" si="59"/>
        <v>1500</v>
      </c>
      <c r="X110" s="338">
        <f t="shared" si="31"/>
        <v>112751.99999999999</v>
      </c>
      <c r="Y110" s="338"/>
      <c r="Z110" s="338"/>
      <c r="AA110" s="338"/>
      <c r="AB110" s="37">
        <f t="shared" si="45"/>
        <v>5265</v>
      </c>
      <c r="AC110" s="37">
        <f t="shared" si="60"/>
        <v>9396</v>
      </c>
      <c r="AD110" s="37">
        <f t="shared" si="46"/>
        <v>77800.499999999985</v>
      </c>
      <c r="AE110" s="37">
        <f t="shared" si="47"/>
        <v>28350</v>
      </c>
      <c r="AF110" s="37">
        <f t="shared" si="68"/>
        <v>32886</v>
      </c>
      <c r="AG110" s="37">
        <f t="shared" si="61"/>
        <v>14093.999999999998</v>
      </c>
      <c r="AH110" s="37">
        <f t="shared" si="62"/>
        <v>159732</v>
      </c>
      <c r="AI110" s="37">
        <f t="shared" si="63"/>
        <v>2839755.5</v>
      </c>
      <c r="AJ110" s="37">
        <f t="shared" si="64"/>
        <v>3024435.5</v>
      </c>
      <c r="AK110" s="36">
        <f t="shared" si="65"/>
        <v>0.12</v>
      </c>
      <c r="AL110" s="37">
        <f t="shared" si="66"/>
        <v>3180526.16</v>
      </c>
      <c r="AM110" s="37">
        <f t="shared" si="67"/>
        <v>3387367.76</v>
      </c>
    </row>
    <row r="111" spans="1:39" ht="20.100000000000001" customHeight="1" x14ac:dyDescent="0.25">
      <c r="A111" s="41">
        <v>80</v>
      </c>
      <c r="B111" s="38">
        <v>164</v>
      </c>
      <c r="C111" s="47">
        <v>545</v>
      </c>
      <c r="D111" s="48">
        <f t="shared" si="40"/>
        <v>89.38</v>
      </c>
      <c r="E111" s="45">
        <f t="shared" si="48"/>
        <v>36023.087044081454</v>
      </c>
      <c r="F111" s="49">
        <v>0.13900000000000001</v>
      </c>
      <c r="G111" s="45">
        <f t="shared" si="49"/>
        <v>3667287.8692800002</v>
      </c>
      <c r="H111" s="55">
        <v>580</v>
      </c>
      <c r="I111" s="56">
        <f t="shared" si="41"/>
        <v>95.12</v>
      </c>
      <c r="J111" s="57">
        <f t="shared" si="50"/>
        <v>36050.659377628253</v>
      </c>
      <c r="K111" s="58">
        <v>0.13900000000000001</v>
      </c>
      <c r="L111" s="59">
        <f t="shared" si="51"/>
        <v>3905789.0020799995</v>
      </c>
      <c r="M111" s="37">
        <f t="shared" si="52"/>
        <v>1430080</v>
      </c>
      <c r="N111" s="37">
        <f t="shared" si="53"/>
        <v>1617040</v>
      </c>
      <c r="O111" s="37">
        <f t="shared" si="54"/>
        <v>485111.99999999994</v>
      </c>
      <c r="P111" s="37">
        <f t="shared" si="55"/>
        <v>380480</v>
      </c>
      <c r="Q111" s="37">
        <f t="shared" si="42"/>
        <v>6232</v>
      </c>
      <c r="R111" s="37">
        <f t="shared" si="43"/>
        <v>1640</v>
      </c>
      <c r="S111" s="37">
        <f t="shared" si="44"/>
        <v>7872</v>
      </c>
      <c r="T111" s="37">
        <f t="shared" si="56"/>
        <v>66584</v>
      </c>
      <c r="U111" s="37">
        <f t="shared" si="57"/>
        <v>47560</v>
      </c>
      <c r="V111" s="37">
        <f t="shared" si="58"/>
        <v>2000</v>
      </c>
      <c r="W111" s="37">
        <f t="shared" si="59"/>
        <v>1500</v>
      </c>
      <c r="X111" s="338">
        <f t="shared" si="31"/>
        <v>114144</v>
      </c>
      <c r="Y111" s="338"/>
      <c r="Z111" s="338"/>
      <c r="AA111" s="338"/>
      <c r="AB111" s="37">
        <f t="shared" si="45"/>
        <v>5330</v>
      </c>
      <c r="AC111" s="37">
        <f t="shared" si="60"/>
        <v>9512</v>
      </c>
      <c r="AD111" s="37">
        <f t="shared" si="46"/>
        <v>78761</v>
      </c>
      <c r="AE111" s="37">
        <f t="shared" si="47"/>
        <v>28700</v>
      </c>
      <c r="AF111" s="37">
        <f t="shared" si="68"/>
        <v>33292</v>
      </c>
      <c r="AG111" s="37">
        <f t="shared" si="61"/>
        <v>14268</v>
      </c>
      <c r="AH111" s="37">
        <f t="shared" si="62"/>
        <v>161704</v>
      </c>
      <c r="AI111" s="37">
        <f t="shared" si="63"/>
        <v>2874771</v>
      </c>
      <c r="AJ111" s="37">
        <f t="shared" si="64"/>
        <v>3061731</v>
      </c>
      <c r="AK111" s="36">
        <f t="shared" si="65"/>
        <v>0.12</v>
      </c>
      <c r="AL111" s="37">
        <f t="shared" si="66"/>
        <v>3219743.52</v>
      </c>
      <c r="AM111" s="37">
        <f t="shared" si="67"/>
        <v>3429138.7199999997</v>
      </c>
    </row>
    <row r="112" spans="1:39" ht="20.100000000000001" customHeight="1" x14ac:dyDescent="0.25">
      <c r="A112" s="41">
        <v>81</v>
      </c>
      <c r="B112" s="38">
        <v>166</v>
      </c>
      <c r="C112" s="47">
        <v>545</v>
      </c>
      <c r="D112" s="48">
        <f t="shared" si="40"/>
        <v>90.47</v>
      </c>
      <c r="E112" s="45">
        <f t="shared" si="48"/>
        <v>36022.558638222617</v>
      </c>
      <c r="F112" s="49">
        <v>0.13900000000000001</v>
      </c>
      <c r="G112" s="45">
        <f t="shared" si="49"/>
        <v>3711956.4423200004</v>
      </c>
      <c r="H112" s="55">
        <v>580</v>
      </c>
      <c r="I112" s="56">
        <f t="shared" si="41"/>
        <v>96.28</v>
      </c>
      <c r="J112" s="57">
        <f t="shared" si="50"/>
        <v>36050.162858329873</v>
      </c>
      <c r="K112" s="58">
        <v>0.13900000000000001</v>
      </c>
      <c r="L112" s="59">
        <f t="shared" si="51"/>
        <v>3953366.1255200002</v>
      </c>
      <c r="M112" s="37">
        <f t="shared" si="52"/>
        <v>1447520</v>
      </c>
      <c r="N112" s="37">
        <f t="shared" si="53"/>
        <v>1636760</v>
      </c>
      <c r="O112" s="37">
        <f t="shared" si="54"/>
        <v>491027.99999999994</v>
      </c>
      <c r="P112" s="37">
        <f t="shared" si="55"/>
        <v>385120</v>
      </c>
      <c r="Q112" s="37">
        <f t="shared" si="42"/>
        <v>6308</v>
      </c>
      <c r="R112" s="37">
        <f t="shared" si="43"/>
        <v>1660</v>
      </c>
      <c r="S112" s="37">
        <f t="shared" si="44"/>
        <v>7968</v>
      </c>
      <c r="T112" s="37">
        <f t="shared" si="56"/>
        <v>67396</v>
      </c>
      <c r="U112" s="37">
        <f t="shared" si="57"/>
        <v>48140</v>
      </c>
      <c r="V112" s="37">
        <f t="shared" si="58"/>
        <v>2000</v>
      </c>
      <c r="W112" s="37">
        <f t="shared" si="59"/>
        <v>1500</v>
      </c>
      <c r="X112" s="338">
        <f t="shared" si="31"/>
        <v>115536</v>
      </c>
      <c r="Y112" s="338"/>
      <c r="Z112" s="338"/>
      <c r="AA112" s="338"/>
      <c r="AB112" s="37">
        <f t="shared" si="45"/>
        <v>5395</v>
      </c>
      <c r="AC112" s="37">
        <f t="shared" si="60"/>
        <v>9628</v>
      </c>
      <c r="AD112" s="37">
        <f t="shared" si="46"/>
        <v>79721.5</v>
      </c>
      <c r="AE112" s="37">
        <f t="shared" si="47"/>
        <v>29050</v>
      </c>
      <c r="AF112" s="37">
        <f t="shared" si="68"/>
        <v>33698</v>
      </c>
      <c r="AG112" s="37">
        <f t="shared" si="61"/>
        <v>14442</v>
      </c>
      <c r="AH112" s="37">
        <f t="shared" si="62"/>
        <v>163676</v>
      </c>
      <c r="AI112" s="37">
        <f t="shared" si="63"/>
        <v>2909786.5</v>
      </c>
      <c r="AJ112" s="37">
        <f t="shared" si="64"/>
        <v>3099026.5</v>
      </c>
      <c r="AK112" s="36">
        <f t="shared" si="65"/>
        <v>0.12</v>
      </c>
      <c r="AL112" s="37">
        <f t="shared" si="66"/>
        <v>3258960.88</v>
      </c>
      <c r="AM112" s="37">
        <f t="shared" si="67"/>
        <v>3470909.68</v>
      </c>
    </row>
    <row r="113" spans="1:39" ht="20.100000000000001" customHeight="1" x14ac:dyDescent="0.25">
      <c r="A113" s="41">
        <v>82</v>
      </c>
      <c r="B113" s="38">
        <v>168</v>
      </c>
      <c r="C113" s="47">
        <v>545</v>
      </c>
      <c r="D113" s="48">
        <f t="shared" si="40"/>
        <v>91.56</v>
      </c>
      <c r="E113" s="45">
        <f t="shared" si="48"/>
        <v>36022.042813455657</v>
      </c>
      <c r="F113" s="49">
        <v>0.13900000000000001</v>
      </c>
      <c r="G113" s="45">
        <f t="shared" si="49"/>
        <v>3756625.0153599996</v>
      </c>
      <c r="H113" s="55">
        <v>580</v>
      </c>
      <c r="I113" s="56">
        <f t="shared" si="41"/>
        <v>97.44</v>
      </c>
      <c r="J113" s="57">
        <f t="shared" si="50"/>
        <v>36049.678160919546</v>
      </c>
      <c r="K113" s="58">
        <v>0.13900000000000001</v>
      </c>
      <c r="L113" s="59">
        <f t="shared" si="51"/>
        <v>4000943.2489600005</v>
      </c>
      <c r="M113" s="37">
        <f t="shared" si="52"/>
        <v>1464960</v>
      </c>
      <c r="N113" s="37">
        <f t="shared" si="53"/>
        <v>1656480</v>
      </c>
      <c r="O113" s="37">
        <f t="shared" si="54"/>
        <v>496943.99999999994</v>
      </c>
      <c r="P113" s="37">
        <f t="shared" si="55"/>
        <v>389760</v>
      </c>
      <c r="Q113" s="37">
        <f t="shared" si="42"/>
        <v>6384</v>
      </c>
      <c r="R113" s="37">
        <f t="shared" si="43"/>
        <v>1680</v>
      </c>
      <c r="S113" s="37">
        <f t="shared" si="44"/>
        <v>8064</v>
      </c>
      <c r="T113" s="37">
        <f t="shared" si="56"/>
        <v>68208</v>
      </c>
      <c r="U113" s="37">
        <f t="shared" si="57"/>
        <v>48720</v>
      </c>
      <c r="V113" s="37">
        <f t="shared" si="58"/>
        <v>2000</v>
      </c>
      <c r="W113" s="37">
        <f t="shared" si="59"/>
        <v>1500</v>
      </c>
      <c r="X113" s="338">
        <f t="shared" si="31"/>
        <v>116928</v>
      </c>
      <c r="Y113" s="338"/>
      <c r="Z113" s="338"/>
      <c r="AA113" s="338"/>
      <c r="AB113" s="37">
        <f t="shared" si="45"/>
        <v>5460</v>
      </c>
      <c r="AC113" s="37">
        <f t="shared" si="60"/>
        <v>9744</v>
      </c>
      <c r="AD113" s="37">
        <f t="shared" si="46"/>
        <v>80681.999999999985</v>
      </c>
      <c r="AE113" s="37">
        <f t="shared" si="47"/>
        <v>29400</v>
      </c>
      <c r="AF113" s="37">
        <f t="shared" si="68"/>
        <v>34104</v>
      </c>
      <c r="AG113" s="37">
        <f t="shared" si="61"/>
        <v>14616</v>
      </c>
      <c r="AH113" s="37">
        <f t="shared" si="62"/>
        <v>165648</v>
      </c>
      <c r="AI113" s="37">
        <f t="shared" si="63"/>
        <v>2944802</v>
      </c>
      <c r="AJ113" s="37">
        <f t="shared" si="64"/>
        <v>3136322</v>
      </c>
      <c r="AK113" s="36">
        <f t="shared" si="65"/>
        <v>0.12</v>
      </c>
      <c r="AL113" s="37">
        <f t="shared" si="66"/>
        <v>3298178.24</v>
      </c>
      <c r="AM113" s="37">
        <f t="shared" si="67"/>
        <v>3512680.64</v>
      </c>
    </row>
    <row r="114" spans="1:39" ht="20.100000000000001" customHeight="1" x14ac:dyDescent="0.25">
      <c r="A114" s="41">
        <v>83</v>
      </c>
      <c r="B114" s="38">
        <v>170</v>
      </c>
      <c r="C114" s="47">
        <v>545</v>
      </c>
      <c r="D114" s="48">
        <f t="shared" si="40"/>
        <v>92.65</v>
      </c>
      <c r="E114" s="45">
        <f t="shared" si="48"/>
        <v>36021.539125742042</v>
      </c>
      <c r="F114" s="49">
        <v>0.13900000000000001</v>
      </c>
      <c r="G114" s="45">
        <f t="shared" si="49"/>
        <v>3801293.5884000007</v>
      </c>
      <c r="H114" s="55">
        <v>580</v>
      </c>
      <c r="I114" s="56">
        <f t="shared" si="41"/>
        <v>98.6</v>
      </c>
      <c r="J114" s="57">
        <f t="shared" si="50"/>
        <v>36049.204868154164</v>
      </c>
      <c r="K114" s="58">
        <v>0.13900000000000001</v>
      </c>
      <c r="L114" s="59">
        <f t="shared" si="51"/>
        <v>4048520.3724000002</v>
      </c>
      <c r="M114" s="37">
        <f t="shared" si="52"/>
        <v>1482400</v>
      </c>
      <c r="N114" s="37">
        <f t="shared" si="53"/>
        <v>1676200</v>
      </c>
      <c r="O114" s="37">
        <f t="shared" si="54"/>
        <v>502859.99999999994</v>
      </c>
      <c r="P114" s="37">
        <f t="shared" si="55"/>
        <v>394400</v>
      </c>
      <c r="Q114" s="37">
        <f t="shared" si="42"/>
        <v>6460</v>
      </c>
      <c r="R114" s="37">
        <f t="shared" si="43"/>
        <v>1700</v>
      </c>
      <c r="S114" s="37">
        <f t="shared" si="44"/>
        <v>8160</v>
      </c>
      <c r="T114" s="37">
        <f t="shared" si="56"/>
        <v>69020</v>
      </c>
      <c r="U114" s="37">
        <f t="shared" si="57"/>
        <v>49300</v>
      </c>
      <c r="V114" s="37">
        <f t="shared" si="58"/>
        <v>2000</v>
      </c>
      <c r="W114" s="37">
        <f t="shared" si="59"/>
        <v>1500</v>
      </c>
      <c r="X114" s="338">
        <f t="shared" si="31"/>
        <v>118320</v>
      </c>
      <c r="Y114" s="338"/>
      <c r="Z114" s="338"/>
      <c r="AA114" s="338"/>
      <c r="AB114" s="37">
        <f t="shared" si="45"/>
        <v>5525</v>
      </c>
      <c r="AC114" s="37">
        <f t="shared" si="60"/>
        <v>9860</v>
      </c>
      <c r="AD114" s="37">
        <f t="shared" si="46"/>
        <v>81642.5</v>
      </c>
      <c r="AE114" s="37">
        <f t="shared" si="47"/>
        <v>29750</v>
      </c>
      <c r="AF114" s="37">
        <f t="shared" si="68"/>
        <v>34510</v>
      </c>
      <c r="AG114" s="37">
        <f t="shared" si="61"/>
        <v>14790</v>
      </c>
      <c r="AH114" s="37">
        <f t="shared" si="62"/>
        <v>167620</v>
      </c>
      <c r="AI114" s="37">
        <f t="shared" si="63"/>
        <v>2979817.5</v>
      </c>
      <c r="AJ114" s="37">
        <f t="shared" si="64"/>
        <v>3173617.5</v>
      </c>
      <c r="AK114" s="36">
        <f t="shared" si="65"/>
        <v>0.12</v>
      </c>
      <c r="AL114" s="37">
        <f t="shared" si="66"/>
        <v>3337395.6</v>
      </c>
      <c r="AM114" s="37">
        <f t="shared" si="67"/>
        <v>3554451.6</v>
      </c>
    </row>
    <row r="115" spans="1:39" ht="20.100000000000001" customHeight="1" x14ac:dyDescent="0.25">
      <c r="A115" s="41">
        <v>84</v>
      </c>
      <c r="B115" s="38">
        <v>172</v>
      </c>
      <c r="C115" s="47">
        <v>545</v>
      </c>
      <c r="D115" s="48">
        <f t="shared" si="40"/>
        <v>93.74</v>
      </c>
      <c r="E115" s="45">
        <f t="shared" si="48"/>
        <v>36021.047151696184</v>
      </c>
      <c r="F115" s="49">
        <v>0.13900000000000001</v>
      </c>
      <c r="G115" s="45">
        <f t="shared" si="49"/>
        <v>3845962.1614400004</v>
      </c>
      <c r="H115" s="55">
        <v>580</v>
      </c>
      <c r="I115" s="56">
        <f t="shared" si="41"/>
        <v>99.76</v>
      </c>
      <c r="J115" s="57">
        <f t="shared" si="50"/>
        <v>36048.742582197272</v>
      </c>
      <c r="K115" s="58">
        <v>0.13900000000000001</v>
      </c>
      <c r="L115" s="59">
        <f t="shared" si="51"/>
        <v>4096097.4958400005</v>
      </c>
      <c r="M115" s="37">
        <f t="shared" si="52"/>
        <v>1499840</v>
      </c>
      <c r="N115" s="37">
        <f t="shared" si="53"/>
        <v>1695920</v>
      </c>
      <c r="O115" s="37">
        <f t="shared" si="54"/>
        <v>508776</v>
      </c>
      <c r="P115" s="37">
        <f t="shared" si="55"/>
        <v>399040</v>
      </c>
      <c r="Q115" s="37">
        <f t="shared" si="42"/>
        <v>6536</v>
      </c>
      <c r="R115" s="37">
        <f t="shared" si="43"/>
        <v>1720</v>
      </c>
      <c r="S115" s="37">
        <f t="shared" si="44"/>
        <v>8256</v>
      </c>
      <c r="T115" s="37">
        <f t="shared" si="56"/>
        <v>69832</v>
      </c>
      <c r="U115" s="37">
        <f t="shared" si="57"/>
        <v>49880</v>
      </c>
      <c r="V115" s="37">
        <f t="shared" si="58"/>
        <v>2000</v>
      </c>
      <c r="W115" s="37">
        <f t="shared" si="59"/>
        <v>1500</v>
      </c>
      <c r="X115" s="338">
        <f t="shared" si="31"/>
        <v>119712</v>
      </c>
      <c r="Y115" s="338"/>
      <c r="Z115" s="338"/>
      <c r="AA115" s="338"/>
      <c r="AB115" s="37">
        <f t="shared" si="45"/>
        <v>5590</v>
      </c>
      <c r="AC115" s="37">
        <f t="shared" si="60"/>
        <v>9976</v>
      </c>
      <c r="AD115" s="37">
        <f t="shared" si="46"/>
        <v>82603</v>
      </c>
      <c r="AE115" s="37">
        <f t="shared" si="47"/>
        <v>30100</v>
      </c>
      <c r="AF115" s="37">
        <f t="shared" si="68"/>
        <v>34916</v>
      </c>
      <c r="AG115" s="37">
        <f t="shared" si="61"/>
        <v>14964</v>
      </c>
      <c r="AH115" s="37">
        <f t="shared" si="62"/>
        <v>169592</v>
      </c>
      <c r="AI115" s="37">
        <f t="shared" si="63"/>
        <v>3014833</v>
      </c>
      <c r="AJ115" s="37">
        <f t="shared" si="64"/>
        <v>3210913</v>
      </c>
      <c r="AK115" s="36">
        <f t="shared" si="65"/>
        <v>0.12</v>
      </c>
      <c r="AL115" s="37">
        <f t="shared" si="66"/>
        <v>3376612.96</v>
      </c>
      <c r="AM115" s="37">
        <f t="shared" si="67"/>
        <v>3596222.56</v>
      </c>
    </row>
    <row r="116" spans="1:39" ht="20.100000000000001" customHeight="1" x14ac:dyDescent="0.25">
      <c r="A116" s="41">
        <v>85</v>
      </c>
      <c r="B116" s="38">
        <v>174</v>
      </c>
      <c r="C116" s="47">
        <v>545</v>
      </c>
      <c r="D116" s="48">
        <f t="shared" si="40"/>
        <v>94.83</v>
      </c>
      <c r="E116" s="45">
        <f t="shared" si="48"/>
        <v>36020.566487398501</v>
      </c>
      <c r="F116" s="49">
        <v>0.13900000000000001</v>
      </c>
      <c r="G116" s="45">
        <f t="shared" si="49"/>
        <v>3890630.7344800001</v>
      </c>
      <c r="H116" s="55">
        <v>580</v>
      </c>
      <c r="I116" s="56">
        <f t="shared" si="41"/>
        <v>100.92</v>
      </c>
      <c r="J116" s="57">
        <f t="shared" si="50"/>
        <v>36048.290923503766</v>
      </c>
      <c r="K116" s="58">
        <v>0.13900000000000001</v>
      </c>
      <c r="L116" s="59">
        <f t="shared" si="51"/>
        <v>4143674.6192800002</v>
      </c>
      <c r="M116" s="37">
        <f t="shared" si="52"/>
        <v>1517280</v>
      </c>
      <c r="N116" s="37">
        <f t="shared" si="53"/>
        <v>1715640</v>
      </c>
      <c r="O116" s="37">
        <f t="shared" si="54"/>
        <v>514692</v>
      </c>
      <c r="P116" s="37">
        <f t="shared" si="55"/>
        <v>403680</v>
      </c>
      <c r="Q116" s="37">
        <f t="shared" si="42"/>
        <v>6612</v>
      </c>
      <c r="R116" s="37">
        <f t="shared" si="43"/>
        <v>1740</v>
      </c>
      <c r="S116" s="37">
        <f t="shared" si="44"/>
        <v>8352</v>
      </c>
      <c r="T116" s="37">
        <f t="shared" si="56"/>
        <v>70644</v>
      </c>
      <c r="U116" s="37">
        <f t="shared" si="57"/>
        <v>50460</v>
      </c>
      <c r="V116" s="37">
        <f t="shared" si="58"/>
        <v>2000</v>
      </c>
      <c r="W116" s="37">
        <f t="shared" si="59"/>
        <v>1500</v>
      </c>
      <c r="X116" s="338">
        <f t="shared" si="31"/>
        <v>121104</v>
      </c>
      <c r="Y116" s="338"/>
      <c r="Z116" s="338"/>
      <c r="AA116" s="338"/>
      <c r="AB116" s="37">
        <f t="shared" si="45"/>
        <v>5655</v>
      </c>
      <c r="AC116" s="37">
        <f t="shared" si="60"/>
        <v>10092</v>
      </c>
      <c r="AD116" s="37">
        <f t="shared" si="46"/>
        <v>83563.499999999985</v>
      </c>
      <c r="AE116" s="37">
        <f t="shared" si="47"/>
        <v>30450</v>
      </c>
      <c r="AF116" s="37">
        <f t="shared" si="68"/>
        <v>35322</v>
      </c>
      <c r="AG116" s="37">
        <f t="shared" si="61"/>
        <v>15138</v>
      </c>
      <c r="AH116" s="37">
        <f t="shared" si="62"/>
        <v>171564</v>
      </c>
      <c r="AI116" s="37">
        <f t="shared" si="63"/>
        <v>3049848.5</v>
      </c>
      <c r="AJ116" s="37">
        <f t="shared" si="64"/>
        <v>3248208.5</v>
      </c>
      <c r="AK116" s="36">
        <f t="shared" si="65"/>
        <v>0.12</v>
      </c>
      <c r="AL116" s="37">
        <f t="shared" si="66"/>
        <v>3415830.32</v>
      </c>
      <c r="AM116" s="37">
        <f t="shared" si="67"/>
        <v>3637993.52</v>
      </c>
    </row>
    <row r="117" spans="1:39" ht="20.100000000000001" customHeight="1" x14ac:dyDescent="0.25">
      <c r="A117" s="41">
        <v>86</v>
      </c>
      <c r="B117" s="38">
        <v>176</v>
      </c>
      <c r="C117" s="47">
        <v>545</v>
      </c>
      <c r="D117" s="48">
        <f t="shared" si="40"/>
        <v>95.92</v>
      </c>
      <c r="E117" s="45">
        <f t="shared" si="48"/>
        <v>36020.096747289412</v>
      </c>
      <c r="F117" s="49">
        <v>0.13900000000000001</v>
      </c>
      <c r="G117" s="45">
        <f t="shared" si="49"/>
        <v>3935299.3075200003</v>
      </c>
      <c r="H117" s="55">
        <v>580</v>
      </c>
      <c r="I117" s="56">
        <f t="shared" si="41"/>
        <v>102.08</v>
      </c>
      <c r="J117" s="57">
        <f t="shared" si="50"/>
        <v>36047.849529780564</v>
      </c>
      <c r="K117" s="58">
        <v>0.13900000000000001</v>
      </c>
      <c r="L117" s="59">
        <f t="shared" si="51"/>
        <v>4191251.7427199995</v>
      </c>
      <c r="M117" s="37">
        <f t="shared" si="52"/>
        <v>1534720</v>
      </c>
      <c r="N117" s="37">
        <f t="shared" si="53"/>
        <v>1735360</v>
      </c>
      <c r="O117" s="37">
        <f t="shared" si="54"/>
        <v>520607.99999999994</v>
      </c>
      <c r="P117" s="37">
        <f t="shared" si="55"/>
        <v>408320</v>
      </c>
      <c r="Q117" s="37">
        <f t="shared" si="42"/>
        <v>6688</v>
      </c>
      <c r="R117" s="37">
        <f t="shared" si="43"/>
        <v>1760</v>
      </c>
      <c r="S117" s="37">
        <f t="shared" si="44"/>
        <v>8448</v>
      </c>
      <c r="T117" s="37">
        <f t="shared" si="56"/>
        <v>71456</v>
      </c>
      <c r="U117" s="37">
        <f t="shared" si="57"/>
        <v>51040</v>
      </c>
      <c r="V117" s="37">
        <f t="shared" si="58"/>
        <v>2000</v>
      </c>
      <c r="W117" s="37">
        <f t="shared" si="59"/>
        <v>1500</v>
      </c>
      <c r="X117" s="338">
        <f t="shared" ref="X117:X121" si="69">$E$14*I117</f>
        <v>122496</v>
      </c>
      <c r="Y117" s="338"/>
      <c r="Z117" s="338"/>
      <c r="AA117" s="338"/>
      <c r="AB117" s="37">
        <f t="shared" si="45"/>
        <v>5720</v>
      </c>
      <c r="AC117" s="37">
        <f t="shared" si="60"/>
        <v>10208</v>
      </c>
      <c r="AD117" s="37">
        <f t="shared" si="46"/>
        <v>84524</v>
      </c>
      <c r="AE117" s="37">
        <f t="shared" si="47"/>
        <v>30800</v>
      </c>
      <c r="AF117" s="37">
        <f t="shared" si="68"/>
        <v>35728</v>
      </c>
      <c r="AG117" s="37">
        <f t="shared" si="61"/>
        <v>15312</v>
      </c>
      <c r="AH117" s="37">
        <f t="shared" si="62"/>
        <v>173536</v>
      </c>
      <c r="AI117" s="37">
        <f t="shared" si="63"/>
        <v>3084864</v>
      </c>
      <c r="AJ117" s="37">
        <f t="shared" si="64"/>
        <v>3285504</v>
      </c>
      <c r="AK117" s="36">
        <f t="shared" si="65"/>
        <v>0.12</v>
      </c>
      <c r="AL117" s="37">
        <f t="shared" si="66"/>
        <v>3455047.6800000002</v>
      </c>
      <c r="AM117" s="37">
        <f t="shared" si="67"/>
        <v>3679764.48</v>
      </c>
    </row>
    <row r="118" spans="1:39" ht="20.100000000000001" customHeight="1" x14ac:dyDescent="0.25">
      <c r="A118" s="41">
        <v>87</v>
      </c>
      <c r="B118" s="38">
        <v>178</v>
      </c>
      <c r="C118" s="47">
        <v>545</v>
      </c>
      <c r="D118" s="48">
        <f t="shared" si="40"/>
        <v>97.01</v>
      </c>
      <c r="E118" s="45">
        <f t="shared" si="48"/>
        <v>36019.637563137818</v>
      </c>
      <c r="F118" s="49">
        <v>0.13900000000000001</v>
      </c>
      <c r="G118" s="45">
        <f t="shared" si="49"/>
        <v>3979967.88056</v>
      </c>
      <c r="H118" s="55">
        <v>580</v>
      </c>
      <c r="I118" s="56">
        <f t="shared" si="41"/>
        <v>103.24</v>
      </c>
      <c r="J118" s="57">
        <f t="shared" si="50"/>
        <v>36047.418055017435</v>
      </c>
      <c r="K118" s="58">
        <v>0.13900000000000001</v>
      </c>
      <c r="L118" s="59">
        <f t="shared" si="51"/>
        <v>4238828.8661599997</v>
      </c>
      <c r="M118" s="37">
        <f t="shared" si="52"/>
        <v>1552160</v>
      </c>
      <c r="N118" s="37">
        <f t="shared" si="53"/>
        <v>1755080</v>
      </c>
      <c r="O118" s="37">
        <f t="shared" si="54"/>
        <v>526523.99999999988</v>
      </c>
      <c r="P118" s="37">
        <f t="shared" si="55"/>
        <v>412960</v>
      </c>
      <c r="Q118" s="37">
        <f t="shared" si="42"/>
        <v>6764</v>
      </c>
      <c r="R118" s="37">
        <f t="shared" si="43"/>
        <v>1780</v>
      </c>
      <c r="S118" s="37">
        <f t="shared" si="44"/>
        <v>8544</v>
      </c>
      <c r="T118" s="37">
        <f t="shared" si="56"/>
        <v>72268</v>
      </c>
      <c r="U118" s="37">
        <f t="shared" si="57"/>
        <v>51620</v>
      </c>
      <c r="V118" s="37">
        <f t="shared" si="58"/>
        <v>2000</v>
      </c>
      <c r="W118" s="37">
        <f t="shared" si="59"/>
        <v>1500</v>
      </c>
      <c r="X118" s="338">
        <f t="shared" si="69"/>
        <v>123888</v>
      </c>
      <c r="Y118" s="338"/>
      <c r="Z118" s="338"/>
      <c r="AA118" s="338"/>
      <c r="AB118" s="37">
        <f t="shared" si="45"/>
        <v>5785</v>
      </c>
      <c r="AC118" s="37">
        <f t="shared" si="60"/>
        <v>10324</v>
      </c>
      <c r="AD118" s="37">
        <f t="shared" si="46"/>
        <v>85484.5</v>
      </c>
      <c r="AE118" s="37">
        <f t="shared" si="47"/>
        <v>31150</v>
      </c>
      <c r="AF118" s="37">
        <f t="shared" si="68"/>
        <v>36134</v>
      </c>
      <c r="AG118" s="37">
        <f t="shared" si="61"/>
        <v>15486</v>
      </c>
      <c r="AH118" s="37">
        <f t="shared" si="62"/>
        <v>175508</v>
      </c>
      <c r="AI118" s="37">
        <f t="shared" si="63"/>
        <v>3119879.5</v>
      </c>
      <c r="AJ118" s="37">
        <f t="shared" si="64"/>
        <v>3322799.5</v>
      </c>
      <c r="AK118" s="36">
        <f t="shared" si="65"/>
        <v>0.12</v>
      </c>
      <c r="AL118" s="37">
        <f t="shared" si="66"/>
        <v>3494265.04</v>
      </c>
      <c r="AM118" s="37">
        <f t="shared" si="67"/>
        <v>3721535.44</v>
      </c>
    </row>
    <row r="119" spans="1:39" ht="20.100000000000001" customHeight="1" x14ac:dyDescent="0.25">
      <c r="A119" s="41">
        <v>88</v>
      </c>
      <c r="B119" s="38">
        <v>180</v>
      </c>
      <c r="C119" s="47">
        <v>545</v>
      </c>
      <c r="D119" s="48">
        <f t="shared" si="40"/>
        <v>98.1</v>
      </c>
      <c r="E119" s="45">
        <f t="shared" si="48"/>
        <v>36019.188583078496</v>
      </c>
      <c r="F119" s="49">
        <v>0.13900000000000001</v>
      </c>
      <c r="G119" s="45">
        <f t="shared" si="49"/>
        <v>4024636.4536000006</v>
      </c>
      <c r="H119" s="55">
        <v>580</v>
      </c>
      <c r="I119" s="56">
        <f t="shared" si="41"/>
        <v>104.4</v>
      </c>
      <c r="J119" s="57">
        <f t="shared" si="50"/>
        <v>36046.996168582373</v>
      </c>
      <c r="K119" s="58">
        <v>0.13900000000000001</v>
      </c>
      <c r="L119" s="59">
        <f t="shared" si="51"/>
        <v>4286405.9896</v>
      </c>
      <c r="M119" s="37">
        <f t="shared" si="52"/>
        <v>1569600</v>
      </c>
      <c r="N119" s="37">
        <f t="shared" si="53"/>
        <v>1774800</v>
      </c>
      <c r="O119" s="37">
        <f t="shared" si="54"/>
        <v>532439.99999999988</v>
      </c>
      <c r="P119" s="37">
        <f t="shared" si="55"/>
        <v>417600</v>
      </c>
      <c r="Q119" s="37">
        <f t="shared" si="42"/>
        <v>6840</v>
      </c>
      <c r="R119" s="37">
        <f t="shared" si="43"/>
        <v>1800</v>
      </c>
      <c r="S119" s="37">
        <f t="shared" si="44"/>
        <v>8640</v>
      </c>
      <c r="T119" s="37">
        <f t="shared" si="56"/>
        <v>73080</v>
      </c>
      <c r="U119" s="37">
        <f t="shared" si="57"/>
        <v>52200</v>
      </c>
      <c r="V119" s="37">
        <f t="shared" si="58"/>
        <v>2000</v>
      </c>
      <c r="W119" s="37">
        <f t="shared" si="59"/>
        <v>1500</v>
      </c>
      <c r="X119" s="338">
        <f t="shared" si="69"/>
        <v>125280</v>
      </c>
      <c r="Y119" s="338"/>
      <c r="Z119" s="338"/>
      <c r="AA119" s="338"/>
      <c r="AB119" s="37">
        <f t="shared" si="45"/>
        <v>5850</v>
      </c>
      <c r="AC119" s="37">
        <f t="shared" si="60"/>
        <v>10440</v>
      </c>
      <c r="AD119" s="37">
        <f t="shared" si="46"/>
        <v>86444.999999999985</v>
      </c>
      <c r="AE119" s="37">
        <f t="shared" si="47"/>
        <v>31500</v>
      </c>
      <c r="AF119" s="37">
        <f t="shared" si="68"/>
        <v>36540</v>
      </c>
      <c r="AG119" s="37">
        <f t="shared" si="61"/>
        <v>15660</v>
      </c>
      <c r="AH119" s="37">
        <f t="shared" si="62"/>
        <v>177480</v>
      </c>
      <c r="AI119" s="37">
        <f t="shared" si="63"/>
        <v>3154895</v>
      </c>
      <c r="AJ119" s="37">
        <f t="shared" si="64"/>
        <v>3360095</v>
      </c>
      <c r="AK119" s="36">
        <f t="shared" si="65"/>
        <v>0.12</v>
      </c>
      <c r="AL119" s="37">
        <f t="shared" si="66"/>
        <v>3533482.4</v>
      </c>
      <c r="AM119" s="37">
        <f t="shared" si="67"/>
        <v>3763306.4</v>
      </c>
    </row>
    <row r="120" spans="1:39" ht="20.100000000000001" customHeight="1" x14ac:dyDescent="0.25">
      <c r="A120" s="41">
        <v>89</v>
      </c>
      <c r="B120" s="38">
        <v>182</v>
      </c>
      <c r="C120" s="47">
        <v>545</v>
      </c>
      <c r="D120" s="48">
        <f t="shared" si="40"/>
        <v>99.19</v>
      </c>
      <c r="E120" s="45">
        <f t="shared" si="48"/>
        <v>36018.74947071277</v>
      </c>
      <c r="F120" s="49">
        <v>0.13900000000000001</v>
      </c>
      <c r="G120" s="45">
        <f t="shared" si="49"/>
        <v>4069305.0266399994</v>
      </c>
      <c r="H120" s="55">
        <v>580</v>
      </c>
      <c r="I120" s="56">
        <f t="shared" si="41"/>
        <v>105.56</v>
      </c>
      <c r="J120" s="57">
        <f t="shared" si="50"/>
        <v>36046.583554376659</v>
      </c>
      <c r="K120" s="58">
        <v>0.13900000000000001</v>
      </c>
      <c r="L120" s="59">
        <f t="shared" si="51"/>
        <v>4333983.1130400002</v>
      </c>
      <c r="M120" s="37">
        <f t="shared" si="52"/>
        <v>1587040</v>
      </c>
      <c r="N120" s="37">
        <f t="shared" si="53"/>
        <v>1794520</v>
      </c>
      <c r="O120" s="37">
        <f t="shared" si="54"/>
        <v>538356</v>
      </c>
      <c r="P120" s="37">
        <f t="shared" si="55"/>
        <v>422240</v>
      </c>
      <c r="Q120" s="37">
        <f t="shared" si="42"/>
        <v>6916</v>
      </c>
      <c r="R120" s="37">
        <f t="shared" si="43"/>
        <v>1820</v>
      </c>
      <c r="S120" s="37">
        <f t="shared" si="44"/>
        <v>8736</v>
      </c>
      <c r="T120" s="37">
        <f t="shared" si="56"/>
        <v>73892</v>
      </c>
      <c r="U120" s="37">
        <f t="shared" si="57"/>
        <v>52780</v>
      </c>
      <c r="V120" s="37">
        <f t="shared" si="58"/>
        <v>2000</v>
      </c>
      <c r="W120" s="37">
        <f t="shared" si="59"/>
        <v>1500</v>
      </c>
      <c r="X120" s="338">
        <f t="shared" si="69"/>
        <v>126672</v>
      </c>
      <c r="Y120" s="338"/>
      <c r="Z120" s="338"/>
      <c r="AA120" s="338"/>
      <c r="AB120" s="37">
        <f t="shared" si="45"/>
        <v>5915</v>
      </c>
      <c r="AC120" s="37">
        <f t="shared" si="60"/>
        <v>10556</v>
      </c>
      <c r="AD120" s="37">
        <f t="shared" si="46"/>
        <v>87405.499999999985</v>
      </c>
      <c r="AE120" s="37">
        <f t="shared" si="47"/>
        <v>31850</v>
      </c>
      <c r="AF120" s="37">
        <f t="shared" si="68"/>
        <v>36946</v>
      </c>
      <c r="AG120" s="37">
        <f t="shared" si="61"/>
        <v>15834</v>
      </c>
      <c r="AH120" s="37">
        <f t="shared" si="62"/>
        <v>179452</v>
      </c>
      <c r="AI120" s="37">
        <f t="shared" si="63"/>
        <v>3189910.5</v>
      </c>
      <c r="AJ120" s="37">
        <f t="shared" si="64"/>
        <v>3397390.5</v>
      </c>
      <c r="AK120" s="36">
        <f t="shared" si="65"/>
        <v>0.12</v>
      </c>
      <c r="AL120" s="37">
        <f t="shared" si="66"/>
        <v>3572699.76</v>
      </c>
      <c r="AM120" s="37">
        <f t="shared" si="67"/>
        <v>3805077.36</v>
      </c>
    </row>
    <row r="121" spans="1:39" ht="20.100000000000001" customHeight="1" thickBot="1" x14ac:dyDescent="0.3">
      <c r="A121" s="42">
        <v>90</v>
      </c>
      <c r="B121" s="43">
        <v>184</v>
      </c>
      <c r="C121" s="50">
        <v>545</v>
      </c>
      <c r="D121" s="51">
        <f t="shared" si="40"/>
        <v>100.28</v>
      </c>
      <c r="E121" s="46">
        <f t="shared" si="48"/>
        <v>36018.31990426805</v>
      </c>
      <c r="F121" s="52">
        <v>0.13900000000000001</v>
      </c>
      <c r="G121" s="46">
        <f t="shared" si="49"/>
        <v>4113973.5996800005</v>
      </c>
      <c r="H121" s="60">
        <v>580</v>
      </c>
      <c r="I121" s="61">
        <f t="shared" si="41"/>
        <v>106.72</v>
      </c>
      <c r="J121" s="62">
        <f t="shared" si="50"/>
        <v>36046.179910044979</v>
      </c>
      <c r="K121" s="63">
        <v>0.13900000000000001</v>
      </c>
      <c r="L121" s="64">
        <f t="shared" si="51"/>
        <v>4381560.2364800004</v>
      </c>
      <c r="M121" s="37">
        <f t="shared" si="52"/>
        <v>1604480</v>
      </c>
      <c r="N121" s="37">
        <f t="shared" si="53"/>
        <v>1814240</v>
      </c>
      <c r="O121" s="37">
        <f t="shared" si="54"/>
        <v>544271.99999999988</v>
      </c>
      <c r="P121" s="37">
        <f t="shared" si="55"/>
        <v>426880</v>
      </c>
      <c r="Q121" s="37">
        <f t="shared" si="42"/>
        <v>6992</v>
      </c>
      <c r="R121" s="37">
        <f t="shared" si="43"/>
        <v>1840</v>
      </c>
      <c r="S121" s="37">
        <f t="shared" si="44"/>
        <v>8832</v>
      </c>
      <c r="T121" s="37">
        <f t="shared" si="56"/>
        <v>74704</v>
      </c>
      <c r="U121" s="37">
        <f t="shared" si="57"/>
        <v>53360</v>
      </c>
      <c r="V121" s="37">
        <f t="shared" si="58"/>
        <v>2000</v>
      </c>
      <c r="W121" s="37">
        <f t="shared" si="59"/>
        <v>1500</v>
      </c>
      <c r="X121" s="338">
        <f t="shared" si="69"/>
        <v>128064</v>
      </c>
      <c r="Y121" s="338"/>
      <c r="Z121" s="338"/>
      <c r="AA121" s="338"/>
      <c r="AB121" s="37">
        <f t="shared" si="45"/>
        <v>5980</v>
      </c>
      <c r="AC121" s="37">
        <f t="shared" si="60"/>
        <v>10672</v>
      </c>
      <c r="AD121" s="37">
        <f t="shared" si="46"/>
        <v>88366</v>
      </c>
      <c r="AE121" s="37">
        <f t="shared" si="47"/>
        <v>32200</v>
      </c>
      <c r="AF121" s="37">
        <f t="shared" si="68"/>
        <v>37352</v>
      </c>
      <c r="AG121" s="37">
        <f t="shared" si="61"/>
        <v>16008</v>
      </c>
      <c r="AH121" s="37">
        <f t="shared" si="62"/>
        <v>181424</v>
      </c>
      <c r="AI121" s="37">
        <f t="shared" si="63"/>
        <v>3224926</v>
      </c>
      <c r="AJ121" s="37">
        <f t="shared" si="64"/>
        <v>3434686</v>
      </c>
      <c r="AK121" s="36">
        <f t="shared" si="65"/>
        <v>0.12</v>
      </c>
      <c r="AL121" s="37">
        <f t="shared" si="66"/>
        <v>3611917.12</v>
      </c>
      <c r="AM121" s="37">
        <f t="shared" si="67"/>
        <v>3846848.32</v>
      </c>
    </row>
    <row r="122" spans="1:39" ht="20.100000000000001" customHeight="1" x14ac:dyDescent="0.25">
      <c r="A122" s="34"/>
      <c r="B122" s="34"/>
      <c r="C122" s="34"/>
      <c r="D122" s="34"/>
      <c r="E122" s="35"/>
      <c r="F122" s="35"/>
      <c r="G122" s="35"/>
      <c r="H122" s="35"/>
      <c r="I122" s="34"/>
      <c r="J122" s="35"/>
      <c r="Y122" s="8"/>
      <c r="Z122" s="8"/>
      <c r="AA122" s="8"/>
      <c r="AB122" s="8"/>
    </row>
    <row r="123" spans="1:39" ht="20.100000000000001" customHeight="1" x14ac:dyDescent="0.25">
      <c r="A123" s="34"/>
      <c r="B123" s="34"/>
      <c r="C123" s="34"/>
      <c r="D123" s="34"/>
      <c r="E123" s="35"/>
      <c r="F123" s="35"/>
      <c r="G123" s="35"/>
      <c r="H123" s="35"/>
      <c r="I123" s="34"/>
      <c r="J123" s="35"/>
      <c r="Y123" s="8"/>
      <c r="Z123" s="8"/>
      <c r="AA123" s="8"/>
      <c r="AB123" s="8"/>
    </row>
    <row r="124" spans="1:39" ht="20.100000000000001" customHeight="1" x14ac:dyDescent="0.25">
      <c r="A124" s="34"/>
      <c r="B124" s="34"/>
      <c r="C124" s="34"/>
      <c r="D124" s="34"/>
      <c r="E124" s="35"/>
      <c r="F124" s="35"/>
      <c r="G124" s="35"/>
      <c r="H124" s="35"/>
      <c r="I124" s="34"/>
      <c r="J124" s="35"/>
      <c r="Y124" s="8"/>
      <c r="Z124" s="8"/>
      <c r="AA124" s="8"/>
      <c r="AB124" s="8"/>
    </row>
    <row r="125" spans="1:39" ht="20.100000000000001" customHeight="1" x14ac:dyDescent="0.25">
      <c r="Y125" s="8"/>
      <c r="Z125" s="8"/>
      <c r="AA125" s="8"/>
      <c r="AB125" s="8"/>
    </row>
    <row r="126" spans="1:39" ht="20.100000000000001" customHeight="1" x14ac:dyDescent="0.25"/>
    <row r="127" spans="1:39" ht="20.100000000000001" customHeight="1" x14ac:dyDescent="0.25"/>
    <row r="128" spans="1:39"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sheetData>
  <mergeCells count="117">
    <mergeCell ref="X120:AA120"/>
    <mergeCell ref="X121:AA121"/>
    <mergeCell ref="X110:AA110"/>
    <mergeCell ref="X111:AA111"/>
    <mergeCell ref="X112:AA112"/>
    <mergeCell ref="X113:AA113"/>
    <mergeCell ref="X108:AA108"/>
    <mergeCell ref="X109:AA109"/>
    <mergeCell ref="X98:AA98"/>
    <mergeCell ref="X99:AA99"/>
    <mergeCell ref="X100:AA100"/>
    <mergeCell ref="X101:AA101"/>
    <mergeCell ref="X114:AA114"/>
    <mergeCell ref="X115:AA115"/>
    <mergeCell ref="X116:AA116"/>
    <mergeCell ref="X117:AA117"/>
    <mergeCell ref="X118:AA118"/>
    <mergeCell ref="X119:AA119"/>
    <mergeCell ref="X102:AA102"/>
    <mergeCell ref="X103:AA103"/>
    <mergeCell ref="X104:AA104"/>
    <mergeCell ref="X105:AA105"/>
    <mergeCell ref="X106:AA106"/>
    <mergeCell ref="X107:AA107"/>
    <mergeCell ref="X96:AA96"/>
    <mergeCell ref="X97:AA97"/>
    <mergeCell ref="X86:AA86"/>
    <mergeCell ref="X87:AA87"/>
    <mergeCell ref="X88:AA88"/>
    <mergeCell ref="X89:AA89"/>
    <mergeCell ref="X84:AA84"/>
    <mergeCell ref="X85:AA85"/>
    <mergeCell ref="X74:AA74"/>
    <mergeCell ref="X75:AA75"/>
    <mergeCell ref="X76:AA76"/>
    <mergeCell ref="X77:AA77"/>
    <mergeCell ref="X90:AA90"/>
    <mergeCell ref="X91:AA91"/>
    <mergeCell ref="X92:AA92"/>
    <mergeCell ref="X93:AA93"/>
    <mergeCell ref="X94:AA94"/>
    <mergeCell ref="X95:AA95"/>
    <mergeCell ref="X78:AA78"/>
    <mergeCell ref="X79:AA79"/>
    <mergeCell ref="X80:AA80"/>
    <mergeCell ref="X81:AA81"/>
    <mergeCell ref="X82:AA82"/>
    <mergeCell ref="X83:AA83"/>
    <mergeCell ref="X72:AA72"/>
    <mergeCell ref="X73:AA73"/>
    <mergeCell ref="X62:AA62"/>
    <mergeCell ref="X63:AA63"/>
    <mergeCell ref="X64:AA64"/>
    <mergeCell ref="X65:AA65"/>
    <mergeCell ref="X60:AA60"/>
    <mergeCell ref="X61:AA61"/>
    <mergeCell ref="X50:AA50"/>
    <mergeCell ref="X51:AA51"/>
    <mergeCell ref="X52:AA52"/>
    <mergeCell ref="X53:AA53"/>
    <mergeCell ref="X66:AA66"/>
    <mergeCell ref="X67:AA67"/>
    <mergeCell ref="X68:AA68"/>
    <mergeCell ref="X69:AA69"/>
    <mergeCell ref="X70:AA70"/>
    <mergeCell ref="X71:AA71"/>
    <mergeCell ref="X54:AA54"/>
    <mergeCell ref="X55:AA55"/>
    <mergeCell ref="X56:AA56"/>
    <mergeCell ref="X57:AA57"/>
    <mergeCell ref="X58:AA58"/>
    <mergeCell ref="X59:AA59"/>
    <mergeCell ref="X49:AA49"/>
    <mergeCell ref="X38:AA38"/>
    <mergeCell ref="X39:AA39"/>
    <mergeCell ref="X40:AA40"/>
    <mergeCell ref="X41:AA41"/>
    <mergeCell ref="B22:C22"/>
    <mergeCell ref="B24:C24"/>
    <mergeCell ref="B27:C27"/>
    <mergeCell ref="X42:AA42"/>
    <mergeCell ref="X43:AA43"/>
    <mergeCell ref="X44:AA44"/>
    <mergeCell ref="X45:AA45"/>
    <mergeCell ref="X46:AA46"/>
    <mergeCell ref="X47:AA47"/>
    <mergeCell ref="X32:AA32"/>
    <mergeCell ref="X33:AA33"/>
    <mergeCell ref="X34:AA34"/>
    <mergeCell ref="X35:AA35"/>
    <mergeCell ref="X36:AA36"/>
    <mergeCell ref="X37:AA37"/>
    <mergeCell ref="B25:C25"/>
    <mergeCell ref="B26:C26"/>
    <mergeCell ref="B23:C23"/>
    <mergeCell ref="B1:C1"/>
    <mergeCell ref="B2:C2"/>
    <mergeCell ref="B3:C3"/>
    <mergeCell ref="B4:C4"/>
    <mergeCell ref="B5:C5"/>
    <mergeCell ref="B6:C6"/>
    <mergeCell ref="B14:C14"/>
    <mergeCell ref="B13:C13"/>
    <mergeCell ref="X48:AA48"/>
    <mergeCell ref="B21:C21"/>
    <mergeCell ref="B7:C7"/>
    <mergeCell ref="B8:C8"/>
    <mergeCell ref="B9:C9"/>
    <mergeCell ref="B10:C10"/>
    <mergeCell ref="B11:C11"/>
    <mergeCell ref="B12:C12"/>
    <mergeCell ref="B15:C15"/>
    <mergeCell ref="B16:C16"/>
    <mergeCell ref="B17:C17"/>
    <mergeCell ref="B18:C18"/>
    <mergeCell ref="B19:C19"/>
    <mergeCell ref="B20:C20"/>
  </mergeCells>
  <phoneticPr fontId="17" type="noConversion"/>
  <pageMargins left="0.7" right="0.7" top="0.75" bottom="0.75" header="0.3" footer="0.3"/>
  <pageSetup paperSize="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13"/>
  <sheetViews>
    <sheetView topLeftCell="B10" workbookViewId="0">
      <selection activeCell="N12" sqref="N12:N39"/>
    </sheetView>
  </sheetViews>
  <sheetFormatPr defaultRowHeight="15" x14ac:dyDescent="0.25"/>
  <cols>
    <col min="1" max="1" width="255.7109375" bestFit="1" customWidth="1"/>
    <col min="13" max="13" width="5.7109375" style="34" bestFit="1" customWidth="1"/>
    <col min="14" max="14" width="38.42578125" bestFit="1" customWidth="1"/>
    <col min="15" max="15" width="8" bestFit="1" customWidth="1"/>
    <col min="16" max="16" width="8.140625" bestFit="1" customWidth="1"/>
    <col min="18" max="18" width="10" bestFit="1" customWidth="1"/>
    <col min="19" max="19" width="5.85546875" bestFit="1" customWidth="1"/>
    <col min="20" max="20" width="10" bestFit="1" customWidth="1"/>
    <col min="21" max="21" width="13.140625" bestFit="1" customWidth="1"/>
  </cols>
  <sheetData>
    <row r="1" spans="1:25" x14ac:dyDescent="0.25">
      <c r="A1" t="s">
        <v>381</v>
      </c>
    </row>
    <row r="5" spans="1:25" ht="23.25" x14ac:dyDescent="0.25">
      <c r="A5" s="73" t="s">
        <v>382</v>
      </c>
    </row>
    <row r="6" spans="1:25" x14ac:dyDescent="0.25">
      <c r="N6" t="s">
        <v>45</v>
      </c>
      <c r="O6" s="248" t="s">
        <v>137</v>
      </c>
      <c r="P6" s="248"/>
      <c r="Q6" s="248"/>
      <c r="R6">
        <v>14.9</v>
      </c>
      <c r="S6">
        <v>540</v>
      </c>
      <c r="T6">
        <v>101</v>
      </c>
    </row>
    <row r="7" spans="1:25" ht="18" x14ac:dyDescent="0.25">
      <c r="A7" s="74" t="s">
        <v>383</v>
      </c>
      <c r="N7" t="s">
        <v>135</v>
      </c>
      <c r="O7" s="248" t="s">
        <v>106</v>
      </c>
      <c r="P7" s="248"/>
      <c r="Q7" s="248"/>
      <c r="S7">
        <v>540</v>
      </c>
      <c r="T7">
        <v>112</v>
      </c>
      <c r="U7">
        <f>T7*S7</f>
        <v>60480</v>
      </c>
    </row>
    <row r="8" spans="1:25" x14ac:dyDescent="0.25">
      <c r="A8" s="75"/>
      <c r="H8" s="1"/>
      <c r="O8" s="248"/>
      <c r="P8" s="248"/>
      <c r="Q8" s="248"/>
    </row>
    <row r="9" spans="1:25" x14ac:dyDescent="0.25">
      <c r="A9" s="76" t="s">
        <v>384</v>
      </c>
      <c r="H9" s="1"/>
      <c r="O9" s="248">
        <f>368*545</f>
        <v>200560</v>
      </c>
      <c r="P9" s="248"/>
      <c r="Q9" s="248"/>
    </row>
    <row r="10" spans="1:25" x14ac:dyDescent="0.25">
      <c r="A10" s="75"/>
      <c r="H10" s="1"/>
      <c r="O10" s="248"/>
      <c r="P10" s="248"/>
      <c r="Q10" s="248"/>
      <c r="W10" t="s">
        <v>17</v>
      </c>
      <c r="X10" t="s">
        <v>251</v>
      </c>
      <c r="Y10" t="s">
        <v>252</v>
      </c>
    </row>
    <row r="11" spans="1:25" x14ac:dyDescent="0.25">
      <c r="A11" s="76" t="s">
        <v>385</v>
      </c>
      <c r="H11" s="340"/>
      <c r="I11" s="341"/>
      <c r="J11" s="341"/>
      <c r="M11" s="100" t="s">
        <v>4</v>
      </c>
      <c r="N11" s="19" t="s">
        <v>107</v>
      </c>
      <c r="O11" s="19" t="s">
        <v>108</v>
      </c>
      <c r="P11" s="19" t="s">
        <v>14</v>
      </c>
      <c r="Q11" s="19" t="s">
        <v>128</v>
      </c>
      <c r="R11" s="19" t="s">
        <v>95</v>
      </c>
      <c r="S11" s="19" t="s">
        <v>109</v>
      </c>
      <c r="T11" s="19" t="s">
        <v>93</v>
      </c>
      <c r="U11" s="19" t="s">
        <v>110</v>
      </c>
      <c r="W11" t="s">
        <v>248</v>
      </c>
      <c r="X11">
        <v>285000</v>
      </c>
      <c r="Y11">
        <f>X11/125000</f>
        <v>2.2799999999999998</v>
      </c>
    </row>
    <row r="12" spans="1:25" x14ac:dyDescent="0.25">
      <c r="A12" s="75"/>
      <c r="H12" s="2"/>
      <c r="M12" s="38">
        <v>1</v>
      </c>
      <c r="N12" s="9" t="s">
        <v>637</v>
      </c>
      <c r="O12" s="9">
        <f>514*595</f>
        <v>305830</v>
      </c>
      <c r="P12" s="9">
        <v>15.1</v>
      </c>
      <c r="Q12" s="9" t="s">
        <v>129</v>
      </c>
      <c r="R12" s="9">
        <f>O12*P12</f>
        <v>4618033</v>
      </c>
      <c r="S12" s="20">
        <v>0.12</v>
      </c>
      <c r="T12" s="9">
        <f>R12*S12</f>
        <v>554163.96</v>
      </c>
      <c r="U12" s="21">
        <f>R12+T12</f>
        <v>5172196.96</v>
      </c>
      <c r="W12" t="s">
        <v>249</v>
      </c>
      <c r="X12">
        <v>267000</v>
      </c>
      <c r="Y12">
        <f>X12/100000</f>
        <v>2.67</v>
      </c>
    </row>
    <row r="13" spans="1:25" x14ac:dyDescent="0.25">
      <c r="A13" s="76" t="s">
        <v>386</v>
      </c>
      <c r="H13" s="1"/>
      <c r="K13">
        <v>20300</v>
      </c>
      <c r="M13" s="38">
        <v>2</v>
      </c>
      <c r="N13" s="9" t="s">
        <v>211</v>
      </c>
      <c r="O13" s="9">
        <f>O12</f>
        <v>305830</v>
      </c>
      <c r="P13" s="9">
        <v>2.67</v>
      </c>
      <c r="Q13" s="9" t="s">
        <v>129</v>
      </c>
      <c r="R13" s="25">
        <f t="shared" ref="R13:R43" si="0">O13*P13</f>
        <v>816566.1</v>
      </c>
      <c r="S13" s="20">
        <v>0.12</v>
      </c>
      <c r="T13" s="9">
        <f t="shared" ref="T13:T43" si="1">R13*S13</f>
        <v>97987.932000000001</v>
      </c>
      <c r="U13" s="21">
        <f t="shared" ref="U13:U44" si="2">R13+T13</f>
        <v>914554.03200000001</v>
      </c>
      <c r="W13" t="s">
        <v>250</v>
      </c>
      <c r="X13">
        <v>223000</v>
      </c>
      <c r="Y13" s="14">
        <f>X13/75000</f>
        <v>2.9733333333333332</v>
      </c>
    </row>
    <row r="14" spans="1:25" x14ac:dyDescent="0.25">
      <c r="A14" s="75"/>
      <c r="K14">
        <f>18*550</f>
        <v>9900</v>
      </c>
      <c r="M14" s="345">
        <v>3</v>
      </c>
      <c r="N14" s="342" t="s">
        <v>368</v>
      </c>
      <c r="O14" s="9">
        <v>7500</v>
      </c>
      <c r="P14" s="9">
        <v>75</v>
      </c>
      <c r="Q14" s="9" t="s">
        <v>146</v>
      </c>
      <c r="R14" s="9">
        <f t="shared" si="0"/>
        <v>562500</v>
      </c>
      <c r="S14" s="20">
        <v>0.18</v>
      </c>
      <c r="T14" s="9">
        <f t="shared" si="1"/>
        <v>101250</v>
      </c>
      <c r="U14" s="21">
        <f t="shared" si="2"/>
        <v>663750</v>
      </c>
    </row>
    <row r="15" spans="1:25" x14ac:dyDescent="0.25">
      <c r="A15" s="76" t="s">
        <v>387</v>
      </c>
      <c r="M15" s="346"/>
      <c r="N15" s="343"/>
      <c r="O15" s="9"/>
      <c r="P15" s="9">
        <v>76</v>
      </c>
      <c r="Q15" s="9" t="s">
        <v>130</v>
      </c>
      <c r="R15" s="9">
        <f t="shared" si="0"/>
        <v>0</v>
      </c>
      <c r="S15" s="20">
        <v>0.18</v>
      </c>
      <c r="T15" s="9">
        <f t="shared" si="1"/>
        <v>0</v>
      </c>
      <c r="U15" s="21">
        <f t="shared" si="2"/>
        <v>0</v>
      </c>
    </row>
    <row r="16" spans="1:25" x14ac:dyDescent="0.25">
      <c r="A16" s="76"/>
      <c r="M16" s="347"/>
      <c r="N16" s="344"/>
      <c r="O16" s="9"/>
      <c r="P16" s="9"/>
      <c r="Q16" s="9"/>
      <c r="R16" s="9"/>
      <c r="S16" s="20"/>
      <c r="T16" s="9"/>
      <c r="U16" s="21"/>
    </row>
    <row r="17" spans="1:21" x14ac:dyDescent="0.25">
      <c r="A17" s="75"/>
      <c r="M17" s="38">
        <v>5</v>
      </c>
      <c r="N17" s="9" t="s">
        <v>213</v>
      </c>
      <c r="O17" s="9">
        <v>250</v>
      </c>
      <c r="P17" s="9">
        <v>60</v>
      </c>
      <c r="Q17" s="9" t="s">
        <v>131</v>
      </c>
      <c r="R17" s="9">
        <f t="shared" si="0"/>
        <v>15000</v>
      </c>
      <c r="S17" s="20">
        <v>0.18</v>
      </c>
      <c r="T17" s="9">
        <f t="shared" si="1"/>
        <v>2700</v>
      </c>
      <c r="U17" s="21">
        <f t="shared" si="2"/>
        <v>17700</v>
      </c>
    </row>
    <row r="18" spans="1:21" x14ac:dyDescent="0.25">
      <c r="A18" s="76" t="s">
        <v>388</v>
      </c>
      <c r="L18" s="9"/>
      <c r="M18" s="38">
        <v>6</v>
      </c>
      <c r="N18" s="9" t="s">
        <v>215</v>
      </c>
      <c r="O18" s="9">
        <f>O17*4</f>
        <v>1000</v>
      </c>
      <c r="P18" s="9">
        <v>10</v>
      </c>
      <c r="Q18" s="9" t="s">
        <v>131</v>
      </c>
      <c r="R18" s="9">
        <f t="shared" si="0"/>
        <v>10000</v>
      </c>
      <c r="S18" s="20">
        <v>0.18</v>
      </c>
      <c r="T18" s="9">
        <f t="shared" si="1"/>
        <v>1800</v>
      </c>
      <c r="U18" s="21">
        <f t="shared" si="2"/>
        <v>11800</v>
      </c>
    </row>
    <row r="19" spans="1:21" x14ac:dyDescent="0.25">
      <c r="A19" s="75"/>
      <c r="M19" s="38">
        <v>7</v>
      </c>
      <c r="N19" s="9" t="s">
        <v>214</v>
      </c>
      <c r="O19" s="9">
        <f>514*4.1</f>
        <v>2107.3999999999996</v>
      </c>
      <c r="P19" s="9">
        <v>15</v>
      </c>
      <c r="Q19" s="9" t="s">
        <v>131</v>
      </c>
      <c r="R19" s="9">
        <f t="shared" si="0"/>
        <v>31610.999999999993</v>
      </c>
      <c r="S19" s="20">
        <v>0.18</v>
      </c>
      <c r="T19" s="9">
        <f t="shared" si="1"/>
        <v>5689.9799999999987</v>
      </c>
      <c r="U19" s="21">
        <f t="shared" si="2"/>
        <v>37300.979999999989</v>
      </c>
    </row>
    <row r="20" spans="1:21" x14ac:dyDescent="0.25">
      <c r="A20" s="76" t="s">
        <v>389</v>
      </c>
      <c r="M20" s="38">
        <v>8</v>
      </c>
      <c r="N20" s="9" t="s">
        <v>100</v>
      </c>
      <c r="O20" s="9">
        <f>O12</f>
        <v>305830</v>
      </c>
      <c r="P20" s="9">
        <v>0.8</v>
      </c>
      <c r="Q20" s="9" t="s">
        <v>129</v>
      </c>
      <c r="R20" s="9">
        <f t="shared" si="0"/>
        <v>244664</v>
      </c>
      <c r="S20" s="20">
        <v>0.18</v>
      </c>
      <c r="T20" s="9">
        <f t="shared" si="1"/>
        <v>44039.519999999997</v>
      </c>
      <c r="U20" s="21">
        <f t="shared" si="2"/>
        <v>288703.52</v>
      </c>
    </row>
    <row r="21" spans="1:21" x14ac:dyDescent="0.25">
      <c r="A21" s="75"/>
      <c r="M21" s="38">
        <v>9</v>
      </c>
      <c r="N21" s="9" t="s">
        <v>101</v>
      </c>
      <c r="O21" s="9">
        <f>O12</f>
        <v>305830</v>
      </c>
      <c r="P21" s="9">
        <v>0.3</v>
      </c>
      <c r="Q21" s="9" t="s">
        <v>129</v>
      </c>
      <c r="R21" s="9">
        <f t="shared" si="0"/>
        <v>91749</v>
      </c>
      <c r="S21" s="20">
        <v>0.18</v>
      </c>
      <c r="T21" s="9">
        <f t="shared" si="1"/>
        <v>16514.82</v>
      </c>
      <c r="U21" s="21">
        <f t="shared" si="2"/>
        <v>108263.82</v>
      </c>
    </row>
    <row r="22" spans="1:21" x14ac:dyDescent="0.25">
      <c r="A22" s="76" t="s">
        <v>390</v>
      </c>
      <c r="M22" s="38">
        <v>10</v>
      </c>
      <c r="N22" s="9" t="s">
        <v>705</v>
      </c>
      <c r="O22" s="9">
        <v>1</v>
      </c>
      <c r="P22" s="9">
        <v>26500</v>
      </c>
      <c r="Q22" s="9" t="s">
        <v>131</v>
      </c>
      <c r="R22" s="9">
        <f t="shared" si="0"/>
        <v>26500</v>
      </c>
      <c r="S22" s="20">
        <v>0.18</v>
      </c>
      <c r="T22" s="9">
        <f t="shared" si="1"/>
        <v>4770</v>
      </c>
      <c r="U22" s="21">
        <f t="shared" si="2"/>
        <v>31270</v>
      </c>
    </row>
    <row r="23" spans="1:21" x14ac:dyDescent="0.25">
      <c r="A23" s="76"/>
      <c r="M23" s="38"/>
      <c r="N23" s="9" t="s">
        <v>706</v>
      </c>
      <c r="O23" s="9"/>
      <c r="P23" s="9"/>
      <c r="Q23" s="9"/>
      <c r="R23" s="9"/>
      <c r="S23" s="20"/>
      <c r="T23" s="9"/>
      <c r="U23" s="21"/>
    </row>
    <row r="24" spans="1:21" x14ac:dyDescent="0.25">
      <c r="A24" s="75"/>
      <c r="M24" s="38">
        <v>11</v>
      </c>
      <c r="N24" s="9" t="s">
        <v>218</v>
      </c>
      <c r="O24" s="9">
        <v>50</v>
      </c>
      <c r="P24" s="9">
        <v>427</v>
      </c>
      <c r="Q24" s="9" t="s">
        <v>132</v>
      </c>
      <c r="R24" s="9">
        <f t="shared" si="0"/>
        <v>21350</v>
      </c>
      <c r="S24" s="20">
        <v>0.18</v>
      </c>
      <c r="T24" s="9">
        <f t="shared" si="1"/>
        <v>3843</v>
      </c>
      <c r="U24" s="21">
        <f t="shared" si="2"/>
        <v>25193</v>
      </c>
    </row>
    <row r="25" spans="1:21" x14ac:dyDescent="0.25">
      <c r="A25" s="76" t="s">
        <v>391</v>
      </c>
      <c r="M25" s="38">
        <v>12</v>
      </c>
      <c r="N25" s="9" t="s">
        <v>217</v>
      </c>
      <c r="O25" s="9">
        <v>20</v>
      </c>
      <c r="P25" s="9">
        <v>1010</v>
      </c>
      <c r="Q25" s="9" t="s">
        <v>132</v>
      </c>
      <c r="R25" s="9">
        <f t="shared" si="0"/>
        <v>20200</v>
      </c>
      <c r="S25" s="20">
        <v>0.18</v>
      </c>
      <c r="T25" s="9">
        <f t="shared" si="1"/>
        <v>3636</v>
      </c>
      <c r="U25" s="21">
        <f t="shared" si="2"/>
        <v>23836</v>
      </c>
    </row>
    <row r="26" spans="1:21" x14ac:dyDescent="0.25">
      <c r="M26" s="38">
        <v>13</v>
      </c>
      <c r="N26" s="9" t="s">
        <v>707</v>
      </c>
      <c r="O26" s="9">
        <v>750</v>
      </c>
      <c r="P26" s="9">
        <v>42</v>
      </c>
      <c r="Q26" s="9" t="s">
        <v>132</v>
      </c>
      <c r="R26" s="9">
        <f t="shared" si="0"/>
        <v>31500</v>
      </c>
      <c r="S26" s="20">
        <v>0.18</v>
      </c>
      <c r="T26" s="9">
        <f t="shared" si="1"/>
        <v>5670</v>
      </c>
      <c r="U26" s="21">
        <f t="shared" si="2"/>
        <v>37170</v>
      </c>
    </row>
    <row r="27" spans="1:21" x14ac:dyDescent="0.25">
      <c r="M27" s="38">
        <v>14</v>
      </c>
      <c r="N27" s="9" t="s">
        <v>372</v>
      </c>
      <c r="O27" s="9">
        <v>100</v>
      </c>
      <c r="P27" s="9">
        <v>80</v>
      </c>
      <c r="Q27" s="9" t="s">
        <v>132</v>
      </c>
      <c r="R27" s="9">
        <f t="shared" si="0"/>
        <v>8000</v>
      </c>
      <c r="S27" s="20">
        <v>0.18</v>
      </c>
      <c r="T27" s="9">
        <f t="shared" si="1"/>
        <v>1440</v>
      </c>
      <c r="U27" s="21">
        <f t="shared" si="2"/>
        <v>9440</v>
      </c>
    </row>
    <row r="28" spans="1:21" x14ac:dyDescent="0.25">
      <c r="M28" s="38">
        <v>15</v>
      </c>
      <c r="N28" s="9" t="s">
        <v>708</v>
      </c>
      <c r="O28" s="9">
        <v>50</v>
      </c>
      <c r="P28" s="9">
        <v>40</v>
      </c>
      <c r="Q28" s="9" t="s">
        <v>132</v>
      </c>
      <c r="R28" s="9">
        <f t="shared" si="0"/>
        <v>2000</v>
      </c>
      <c r="S28" s="20">
        <v>0.18</v>
      </c>
      <c r="T28" s="9">
        <f t="shared" si="1"/>
        <v>360</v>
      </c>
      <c r="U28" s="21">
        <f t="shared" si="2"/>
        <v>2360</v>
      </c>
    </row>
    <row r="29" spans="1:21" ht="18" x14ac:dyDescent="0.25">
      <c r="A29" s="74" t="s">
        <v>392</v>
      </c>
      <c r="M29" s="38">
        <v>16</v>
      </c>
      <c r="N29" s="9" t="s">
        <v>255</v>
      </c>
      <c r="O29" s="9">
        <v>200</v>
      </c>
      <c r="P29" s="9">
        <v>60</v>
      </c>
      <c r="Q29" s="9" t="s">
        <v>131</v>
      </c>
      <c r="R29" s="9">
        <f t="shared" si="0"/>
        <v>12000</v>
      </c>
      <c r="S29" s="20">
        <v>0.18</v>
      </c>
      <c r="T29" s="9">
        <f t="shared" si="1"/>
        <v>2160</v>
      </c>
      <c r="U29" s="21">
        <f t="shared" si="2"/>
        <v>14160</v>
      </c>
    </row>
    <row r="30" spans="1:21" x14ac:dyDescent="0.25">
      <c r="A30" s="75"/>
      <c r="M30" s="38">
        <v>17</v>
      </c>
      <c r="N30" s="22" t="s">
        <v>709</v>
      </c>
      <c r="O30" s="22">
        <v>200</v>
      </c>
      <c r="P30" s="22">
        <v>280</v>
      </c>
      <c r="Q30" s="22" t="s">
        <v>132</v>
      </c>
      <c r="R30" s="22">
        <f t="shared" si="0"/>
        <v>56000</v>
      </c>
      <c r="S30" s="66">
        <v>0.18</v>
      </c>
      <c r="T30" s="22">
        <f t="shared" si="1"/>
        <v>10080</v>
      </c>
      <c r="U30" s="67">
        <f t="shared" si="2"/>
        <v>66080</v>
      </c>
    </row>
    <row r="31" spans="1:21" x14ac:dyDescent="0.25">
      <c r="A31" s="75"/>
      <c r="M31" s="38"/>
      <c r="N31" s="22" t="s">
        <v>224</v>
      </c>
      <c r="O31" s="22"/>
      <c r="P31" s="22"/>
      <c r="Q31" s="22"/>
      <c r="R31" s="22"/>
      <c r="S31" s="66"/>
      <c r="T31" s="22"/>
      <c r="U31" s="67"/>
    </row>
    <row r="32" spans="1:21" x14ac:dyDescent="0.25">
      <c r="A32" s="75" t="s">
        <v>393</v>
      </c>
      <c r="M32" s="38">
        <v>18</v>
      </c>
      <c r="N32" s="9" t="s">
        <v>221</v>
      </c>
      <c r="O32" s="9">
        <v>120</v>
      </c>
      <c r="P32" s="9">
        <v>24</v>
      </c>
      <c r="Q32" s="9" t="s">
        <v>131</v>
      </c>
      <c r="R32" s="9">
        <f t="shared" si="0"/>
        <v>2880</v>
      </c>
      <c r="S32" s="20">
        <v>0.18</v>
      </c>
      <c r="T32" s="9">
        <f t="shared" si="1"/>
        <v>518.4</v>
      </c>
      <c r="U32" s="21">
        <f t="shared" si="2"/>
        <v>3398.4</v>
      </c>
    </row>
    <row r="33" spans="1:21" x14ac:dyDescent="0.25">
      <c r="A33" s="75"/>
      <c r="M33" s="38">
        <v>19</v>
      </c>
      <c r="N33" s="9" t="s">
        <v>710</v>
      </c>
      <c r="O33" s="9">
        <v>8</v>
      </c>
      <c r="P33" s="9">
        <v>3700</v>
      </c>
      <c r="Q33" s="9" t="s">
        <v>131</v>
      </c>
      <c r="R33" s="9">
        <f t="shared" si="0"/>
        <v>29600</v>
      </c>
      <c r="S33" s="20">
        <v>0.18</v>
      </c>
      <c r="T33" s="9">
        <f t="shared" si="1"/>
        <v>5328</v>
      </c>
      <c r="U33" s="21">
        <f t="shared" si="2"/>
        <v>34928</v>
      </c>
    </row>
    <row r="34" spans="1:21" x14ac:dyDescent="0.25">
      <c r="A34" s="75" t="s">
        <v>394</v>
      </c>
      <c r="M34" s="38">
        <v>20</v>
      </c>
      <c r="N34" s="9" t="s">
        <v>711</v>
      </c>
      <c r="O34" s="9">
        <v>1</v>
      </c>
      <c r="P34" s="9">
        <v>1000</v>
      </c>
      <c r="Q34" s="9" t="s">
        <v>131</v>
      </c>
      <c r="R34" s="9">
        <f t="shared" si="0"/>
        <v>1000</v>
      </c>
      <c r="S34" s="20">
        <v>0.18</v>
      </c>
      <c r="T34" s="9">
        <f t="shared" si="1"/>
        <v>180</v>
      </c>
      <c r="U34" s="21">
        <f t="shared" si="2"/>
        <v>1180</v>
      </c>
    </row>
    <row r="35" spans="1:21" x14ac:dyDescent="0.25">
      <c r="A35" s="75"/>
      <c r="M35" s="38">
        <v>21</v>
      </c>
      <c r="N35" s="9" t="s">
        <v>712</v>
      </c>
      <c r="O35" s="25">
        <v>30</v>
      </c>
      <c r="P35" s="9">
        <v>100</v>
      </c>
      <c r="Q35" s="9" t="s">
        <v>96</v>
      </c>
      <c r="R35" s="9">
        <f t="shared" si="0"/>
        <v>3000</v>
      </c>
      <c r="S35" s="20">
        <v>0.18</v>
      </c>
      <c r="T35" s="9">
        <f t="shared" si="1"/>
        <v>540</v>
      </c>
      <c r="U35" s="21">
        <f t="shared" si="2"/>
        <v>3540</v>
      </c>
    </row>
    <row r="36" spans="1:21" x14ac:dyDescent="0.25">
      <c r="A36" s="75" t="s">
        <v>395</v>
      </c>
      <c r="M36" s="38">
        <v>22</v>
      </c>
      <c r="N36" s="9" t="s">
        <v>122</v>
      </c>
      <c r="O36" s="9">
        <v>2</v>
      </c>
      <c r="P36" s="9">
        <v>2000</v>
      </c>
      <c r="Q36" s="9"/>
      <c r="R36" s="9">
        <f t="shared" si="0"/>
        <v>4000</v>
      </c>
      <c r="S36" s="20">
        <v>0.18</v>
      </c>
      <c r="T36" s="9">
        <f t="shared" si="1"/>
        <v>720</v>
      </c>
      <c r="U36" s="21">
        <f t="shared" si="2"/>
        <v>4720</v>
      </c>
    </row>
    <row r="37" spans="1:21" x14ac:dyDescent="0.25">
      <c r="A37" s="75"/>
      <c r="M37" s="38">
        <v>23</v>
      </c>
      <c r="N37" s="9" t="s">
        <v>123</v>
      </c>
      <c r="O37" s="9">
        <f>O12/1000</f>
        <v>305.83</v>
      </c>
      <c r="P37" s="9">
        <v>1700</v>
      </c>
      <c r="Q37" s="9"/>
      <c r="R37" s="9">
        <f t="shared" si="0"/>
        <v>519911</v>
      </c>
      <c r="S37" s="20">
        <v>0.18</v>
      </c>
      <c r="T37" s="9">
        <f t="shared" si="1"/>
        <v>93583.98</v>
      </c>
      <c r="U37" s="21">
        <f t="shared" si="2"/>
        <v>613494.98</v>
      </c>
    </row>
    <row r="38" spans="1:21" x14ac:dyDescent="0.25">
      <c r="A38" s="75" t="s">
        <v>396</v>
      </c>
      <c r="M38" s="38">
        <v>24</v>
      </c>
      <c r="N38" s="9" t="s">
        <v>226</v>
      </c>
      <c r="O38" s="9">
        <v>10</v>
      </c>
      <c r="P38" s="9">
        <v>350</v>
      </c>
      <c r="Q38" s="9" t="s">
        <v>131</v>
      </c>
      <c r="R38" s="9">
        <f t="shared" si="0"/>
        <v>3500</v>
      </c>
      <c r="S38" s="20">
        <v>0.18</v>
      </c>
      <c r="T38" s="9">
        <f t="shared" si="1"/>
        <v>630</v>
      </c>
      <c r="U38" s="21">
        <f t="shared" si="2"/>
        <v>4130</v>
      </c>
    </row>
    <row r="39" spans="1:21" x14ac:dyDescent="0.25">
      <c r="A39" s="75"/>
      <c r="M39" s="38">
        <v>25</v>
      </c>
      <c r="N39" s="9" t="s">
        <v>373</v>
      </c>
      <c r="O39" s="9">
        <v>350</v>
      </c>
      <c r="P39" s="9">
        <v>400</v>
      </c>
      <c r="Q39" s="9" t="s">
        <v>145</v>
      </c>
      <c r="R39" s="9">
        <f t="shared" si="0"/>
        <v>140000</v>
      </c>
      <c r="S39" s="20">
        <v>0.18</v>
      </c>
      <c r="T39" s="9">
        <f t="shared" si="1"/>
        <v>25200</v>
      </c>
      <c r="U39" s="21">
        <f t="shared" si="2"/>
        <v>165200</v>
      </c>
    </row>
    <row r="40" spans="1:21" x14ac:dyDescent="0.25">
      <c r="A40" s="75" t="s">
        <v>397</v>
      </c>
      <c r="M40" s="38">
        <v>26</v>
      </c>
      <c r="N40" s="9"/>
      <c r="O40" s="9">
        <f>O33</f>
        <v>8</v>
      </c>
      <c r="P40" s="9">
        <v>4500</v>
      </c>
      <c r="Q40" s="9" t="s">
        <v>374</v>
      </c>
      <c r="R40" s="9">
        <f t="shared" si="0"/>
        <v>36000</v>
      </c>
      <c r="S40" s="20">
        <v>0</v>
      </c>
      <c r="T40" s="9">
        <f t="shared" si="1"/>
        <v>0</v>
      </c>
      <c r="U40" s="21">
        <f t="shared" si="2"/>
        <v>36000</v>
      </c>
    </row>
    <row r="41" spans="1:21" x14ac:dyDescent="0.25">
      <c r="A41" s="75"/>
      <c r="M41" s="38">
        <v>27</v>
      </c>
      <c r="N41" s="9"/>
      <c r="O41" s="9">
        <f>O13/1000</f>
        <v>305.83</v>
      </c>
      <c r="P41" s="9">
        <v>400</v>
      </c>
      <c r="Q41" s="9" t="s">
        <v>148</v>
      </c>
      <c r="R41" s="9">
        <f t="shared" si="0"/>
        <v>122332</v>
      </c>
      <c r="S41" s="20">
        <v>0</v>
      </c>
      <c r="T41" s="9">
        <f t="shared" si="1"/>
        <v>0</v>
      </c>
      <c r="U41" s="21">
        <f t="shared" si="2"/>
        <v>122332</v>
      </c>
    </row>
    <row r="42" spans="1:21" x14ac:dyDescent="0.25">
      <c r="A42" s="75" t="s">
        <v>398</v>
      </c>
      <c r="M42" s="38">
        <v>28</v>
      </c>
      <c r="N42" s="9"/>
      <c r="O42" s="9">
        <v>0</v>
      </c>
      <c r="P42" s="9">
        <f>17500+12000</f>
        <v>29500</v>
      </c>
      <c r="Q42" s="9"/>
      <c r="R42" s="9">
        <f t="shared" si="0"/>
        <v>0</v>
      </c>
      <c r="S42" s="20"/>
      <c r="T42" s="9">
        <f t="shared" si="1"/>
        <v>0</v>
      </c>
      <c r="U42" s="21">
        <f t="shared" si="2"/>
        <v>0</v>
      </c>
    </row>
    <row r="43" spans="1:21" x14ac:dyDescent="0.25">
      <c r="A43" s="75"/>
      <c r="M43" s="38">
        <v>29</v>
      </c>
      <c r="N43" s="9"/>
      <c r="O43" s="9">
        <v>0</v>
      </c>
      <c r="P43" s="9">
        <v>15300</v>
      </c>
      <c r="Q43" s="9"/>
      <c r="R43" s="9">
        <f t="shared" si="0"/>
        <v>0</v>
      </c>
      <c r="S43" s="20"/>
      <c r="T43" s="9">
        <f t="shared" si="1"/>
        <v>0</v>
      </c>
      <c r="U43" s="21">
        <f t="shared" si="2"/>
        <v>0</v>
      </c>
    </row>
    <row r="44" spans="1:21" x14ac:dyDescent="0.25">
      <c r="A44" s="75" t="s">
        <v>399</v>
      </c>
      <c r="M44" s="38">
        <v>30</v>
      </c>
      <c r="N44" s="9" t="s">
        <v>125</v>
      </c>
      <c r="O44" s="25">
        <f>SUM(U12:U43)</f>
        <v>8412701.6920000017</v>
      </c>
      <c r="P44" s="20">
        <v>0.15</v>
      </c>
      <c r="Q44" s="26">
        <f>O44*P44</f>
        <v>1261905.2538000003</v>
      </c>
      <c r="R44" s="25">
        <f>O44+Q44</f>
        <v>9674606.9458000027</v>
      </c>
      <c r="S44" s="20">
        <v>0.05</v>
      </c>
      <c r="T44" s="21">
        <f>Q44*S44</f>
        <v>63095.262690000018</v>
      </c>
      <c r="U44" s="27">
        <f t="shared" si="2"/>
        <v>9737702.2084900029</v>
      </c>
    </row>
    <row r="45" spans="1:21" x14ac:dyDescent="0.25">
      <c r="A45" s="75"/>
      <c r="H45" s="251"/>
      <c r="I45" s="251"/>
      <c r="J45" s="339"/>
      <c r="K45" s="339"/>
      <c r="L45" s="339"/>
      <c r="R45" s="28">
        <f>R44/O37</f>
        <v>31633.93697740576</v>
      </c>
      <c r="S45" s="17"/>
      <c r="T45" s="22"/>
      <c r="U45" s="15">
        <f>U44/O37</f>
        <v>31840.245262041015</v>
      </c>
    </row>
    <row r="46" spans="1:21" x14ac:dyDescent="0.25">
      <c r="A46" s="75" t="s">
        <v>400</v>
      </c>
    </row>
    <row r="47" spans="1:21" x14ac:dyDescent="0.25">
      <c r="A47" s="75"/>
    </row>
    <row r="48" spans="1:21" x14ac:dyDescent="0.25">
      <c r="A48" s="75" t="s">
        <v>401</v>
      </c>
    </row>
    <row r="49" spans="1:1" x14ac:dyDescent="0.25">
      <c r="A49" s="75"/>
    </row>
    <row r="50" spans="1:1" x14ac:dyDescent="0.25">
      <c r="A50" s="75" t="s">
        <v>402</v>
      </c>
    </row>
    <row r="51" spans="1:1" x14ac:dyDescent="0.25">
      <c r="A51" s="75"/>
    </row>
    <row r="52" spans="1:1" x14ac:dyDescent="0.25">
      <c r="A52" s="75" t="s">
        <v>403</v>
      </c>
    </row>
    <row r="56" spans="1:1" ht="18" x14ac:dyDescent="0.25">
      <c r="A56" s="74" t="s">
        <v>404</v>
      </c>
    </row>
    <row r="57" spans="1:1" x14ac:dyDescent="0.25">
      <c r="A57" s="75"/>
    </row>
    <row r="58" spans="1:1" x14ac:dyDescent="0.25">
      <c r="A58" s="75" t="s">
        <v>405</v>
      </c>
    </row>
    <row r="59" spans="1:1" x14ac:dyDescent="0.25">
      <c r="A59" s="75"/>
    </row>
    <row r="60" spans="1:1" x14ac:dyDescent="0.25">
      <c r="A60" s="75" t="s">
        <v>406</v>
      </c>
    </row>
    <row r="61" spans="1:1" x14ac:dyDescent="0.25">
      <c r="A61" s="75"/>
    </row>
    <row r="62" spans="1:1" x14ac:dyDescent="0.25">
      <c r="A62" s="75" t="s">
        <v>407</v>
      </c>
    </row>
    <row r="63" spans="1:1" x14ac:dyDescent="0.25">
      <c r="A63" s="75"/>
    </row>
    <row r="64" spans="1:1" x14ac:dyDescent="0.25">
      <c r="A64" s="75" t="s">
        <v>408</v>
      </c>
    </row>
    <row r="65" spans="1:1" x14ac:dyDescent="0.25">
      <c r="A65" s="75"/>
    </row>
    <row r="66" spans="1:1" x14ac:dyDescent="0.25">
      <c r="A66" s="75" t="s">
        <v>409</v>
      </c>
    </row>
    <row r="67" spans="1:1" x14ac:dyDescent="0.25">
      <c r="A67" s="75"/>
    </row>
    <row r="68" spans="1:1" x14ac:dyDescent="0.25">
      <c r="A68" s="75" t="s">
        <v>410</v>
      </c>
    </row>
    <row r="72" spans="1:1" ht="18" x14ac:dyDescent="0.25">
      <c r="A72" s="74" t="s">
        <v>411</v>
      </c>
    </row>
    <row r="73" spans="1:1" x14ac:dyDescent="0.25">
      <c r="A73" s="75"/>
    </row>
    <row r="74" spans="1:1" x14ac:dyDescent="0.25">
      <c r="A74" s="75" t="s">
        <v>412</v>
      </c>
    </row>
    <row r="75" spans="1:1" x14ac:dyDescent="0.25">
      <c r="A75" s="75"/>
    </row>
    <row r="76" spans="1:1" x14ac:dyDescent="0.25">
      <c r="A76" s="75" t="s">
        <v>413</v>
      </c>
    </row>
    <row r="77" spans="1:1" x14ac:dyDescent="0.25">
      <c r="A77" s="75"/>
    </row>
    <row r="78" spans="1:1" x14ac:dyDescent="0.25">
      <c r="A78" s="75" t="s">
        <v>414</v>
      </c>
    </row>
    <row r="79" spans="1:1" x14ac:dyDescent="0.25">
      <c r="A79" s="75"/>
    </row>
    <row r="80" spans="1:1" x14ac:dyDescent="0.25">
      <c r="A80" s="75" t="s">
        <v>415</v>
      </c>
    </row>
    <row r="81" spans="1:1" x14ac:dyDescent="0.25">
      <c r="A81" s="75"/>
    </row>
    <row r="82" spans="1:1" x14ac:dyDescent="0.25">
      <c r="A82" s="75" t="s">
        <v>416</v>
      </c>
    </row>
    <row r="83" spans="1:1" x14ac:dyDescent="0.25">
      <c r="A83" s="75"/>
    </row>
    <row r="84" spans="1:1" x14ac:dyDescent="0.25">
      <c r="A84" s="75" t="s">
        <v>417</v>
      </c>
    </row>
    <row r="88" spans="1:1" ht="18" x14ac:dyDescent="0.25">
      <c r="A88" s="74" t="s">
        <v>418</v>
      </c>
    </row>
    <row r="89" spans="1:1" x14ac:dyDescent="0.25">
      <c r="A89" s="75"/>
    </row>
    <row r="90" spans="1:1" x14ac:dyDescent="0.25">
      <c r="A90" s="75" t="s">
        <v>419</v>
      </c>
    </row>
    <row r="91" spans="1:1" x14ac:dyDescent="0.25">
      <c r="A91" s="75"/>
    </row>
    <row r="92" spans="1:1" x14ac:dyDescent="0.25">
      <c r="A92" s="75" t="s">
        <v>420</v>
      </c>
    </row>
    <row r="93" spans="1:1" x14ac:dyDescent="0.25">
      <c r="A93" s="75"/>
    </row>
    <row r="94" spans="1:1" x14ac:dyDescent="0.25">
      <c r="A94" s="75" t="s">
        <v>421</v>
      </c>
    </row>
    <row r="95" spans="1:1" x14ac:dyDescent="0.25">
      <c r="A95" s="75"/>
    </row>
    <row r="96" spans="1:1" x14ac:dyDescent="0.25">
      <c r="A96" s="75" t="s">
        <v>422</v>
      </c>
    </row>
    <row r="97" spans="1:2" x14ac:dyDescent="0.25">
      <c r="A97" s="75"/>
    </row>
    <row r="98" spans="1:2" x14ac:dyDescent="0.25">
      <c r="A98" s="75" t="s">
        <v>423</v>
      </c>
    </row>
    <row r="99" spans="1:2" x14ac:dyDescent="0.25">
      <c r="A99" s="75"/>
    </row>
    <row r="100" spans="1:2" x14ac:dyDescent="0.25">
      <c r="A100" s="75" t="s">
        <v>424</v>
      </c>
    </row>
    <row r="101" spans="1:2" x14ac:dyDescent="0.25">
      <c r="A101" s="75"/>
    </row>
    <row r="102" spans="1:2" x14ac:dyDescent="0.25">
      <c r="A102" s="75" t="s">
        <v>425</v>
      </c>
    </row>
    <row r="103" spans="1:2" x14ac:dyDescent="0.25">
      <c r="A103" s="75"/>
    </row>
    <row r="104" spans="1:2" x14ac:dyDescent="0.25">
      <c r="A104" s="75" t="s">
        <v>426</v>
      </c>
    </row>
    <row r="108" spans="1:2" ht="18" x14ac:dyDescent="0.25">
      <c r="A108" s="74" t="s">
        <v>427</v>
      </c>
    </row>
    <row r="110" spans="1:2" x14ac:dyDescent="0.25">
      <c r="A110" s="77" t="s">
        <v>7</v>
      </c>
      <c r="B110" s="77" t="s">
        <v>428</v>
      </c>
    </row>
    <row r="111" spans="1:2" x14ac:dyDescent="0.25">
      <c r="A111" s="78" t="s">
        <v>429</v>
      </c>
      <c r="B111" s="78"/>
    </row>
    <row r="112" spans="1:2" x14ac:dyDescent="0.25">
      <c r="A112" s="78" t="s">
        <v>430</v>
      </c>
      <c r="B112" s="78"/>
    </row>
    <row r="113" spans="1:2" x14ac:dyDescent="0.25">
      <c r="A113" s="78" t="s">
        <v>431</v>
      </c>
      <c r="B113" s="78"/>
    </row>
    <row r="114" spans="1:2" x14ac:dyDescent="0.25">
      <c r="A114" s="78" t="s">
        <v>432</v>
      </c>
      <c r="B114" s="78"/>
    </row>
    <row r="115" spans="1:2" x14ac:dyDescent="0.25">
      <c r="A115" s="78" t="s">
        <v>433</v>
      </c>
      <c r="B115" s="78"/>
    </row>
    <row r="116" spans="1:2" x14ac:dyDescent="0.25">
      <c r="A116" s="78" t="s">
        <v>434</v>
      </c>
      <c r="B116" s="78"/>
    </row>
    <row r="117" spans="1:2" x14ac:dyDescent="0.25">
      <c r="A117" s="78" t="s">
        <v>435</v>
      </c>
      <c r="B117" s="78"/>
    </row>
    <row r="120" spans="1:2" ht="18" x14ac:dyDescent="0.25">
      <c r="A120" s="74" t="s">
        <v>436</v>
      </c>
    </row>
    <row r="121" spans="1:2" x14ac:dyDescent="0.25">
      <c r="A121" s="75"/>
    </row>
    <row r="122" spans="1:2" x14ac:dyDescent="0.25">
      <c r="A122" s="75" t="s">
        <v>437</v>
      </c>
    </row>
    <row r="123" spans="1:2" x14ac:dyDescent="0.25">
      <c r="A123" s="75"/>
    </row>
    <row r="124" spans="1:2" x14ac:dyDescent="0.25">
      <c r="A124" s="75" t="s">
        <v>438</v>
      </c>
    </row>
    <row r="125" spans="1:2" x14ac:dyDescent="0.25">
      <c r="A125" s="75"/>
    </row>
    <row r="126" spans="1:2" x14ac:dyDescent="0.25">
      <c r="A126" s="75" t="s">
        <v>439</v>
      </c>
    </row>
    <row r="127" spans="1:2" x14ac:dyDescent="0.25">
      <c r="A127" s="75"/>
    </row>
    <row r="128" spans="1:2" x14ac:dyDescent="0.25">
      <c r="A128" s="75" t="s">
        <v>440</v>
      </c>
    </row>
    <row r="129" spans="1:2" x14ac:dyDescent="0.25">
      <c r="A129" s="75"/>
    </row>
    <row r="130" spans="1:2" x14ac:dyDescent="0.25">
      <c r="A130" s="75" t="s">
        <v>441</v>
      </c>
    </row>
    <row r="134" spans="1:2" ht="18" x14ac:dyDescent="0.25">
      <c r="A134" s="74" t="s">
        <v>442</v>
      </c>
    </row>
    <row r="136" spans="1:2" x14ac:dyDescent="0.25">
      <c r="A136" s="77" t="s">
        <v>443</v>
      </c>
      <c r="B136" s="77" t="s">
        <v>428</v>
      </c>
    </row>
    <row r="137" spans="1:2" ht="60" x14ac:dyDescent="0.25">
      <c r="A137" s="78" t="s">
        <v>444</v>
      </c>
      <c r="B137" s="78" t="s">
        <v>445</v>
      </c>
    </row>
    <row r="138" spans="1:2" ht="105" x14ac:dyDescent="0.25">
      <c r="A138" s="78" t="s">
        <v>330</v>
      </c>
      <c r="B138" s="78" t="s">
        <v>446</v>
      </c>
    </row>
    <row r="139" spans="1:2" ht="30" x14ac:dyDescent="0.25">
      <c r="A139" s="78" t="s">
        <v>447</v>
      </c>
      <c r="B139" s="78" t="s">
        <v>448</v>
      </c>
    </row>
    <row r="140" spans="1:2" ht="45" x14ac:dyDescent="0.25">
      <c r="A140" s="78" t="s">
        <v>449</v>
      </c>
      <c r="B140" s="78" t="s">
        <v>450</v>
      </c>
    </row>
    <row r="141" spans="1:2" ht="45" x14ac:dyDescent="0.25">
      <c r="A141" s="78" t="s">
        <v>451</v>
      </c>
      <c r="B141" s="78" t="s">
        <v>452</v>
      </c>
    </row>
    <row r="142" spans="1:2" ht="45" x14ac:dyDescent="0.25">
      <c r="A142" s="78" t="s">
        <v>453</v>
      </c>
      <c r="B142" s="78" t="s">
        <v>454</v>
      </c>
    </row>
    <row r="143" spans="1:2" ht="30" x14ac:dyDescent="0.25">
      <c r="A143" s="78" t="s">
        <v>455</v>
      </c>
      <c r="B143" s="78" t="s">
        <v>456</v>
      </c>
    </row>
    <row r="146" spans="1:2" ht="18" x14ac:dyDescent="0.25">
      <c r="A146" s="74" t="s">
        <v>457</v>
      </c>
    </row>
    <row r="147" spans="1:2" x14ac:dyDescent="0.25">
      <c r="A147" s="75"/>
    </row>
    <row r="148" spans="1:2" x14ac:dyDescent="0.25">
      <c r="A148" s="75" t="s">
        <v>458</v>
      </c>
    </row>
    <row r="149" spans="1:2" x14ac:dyDescent="0.25">
      <c r="A149" s="75"/>
    </row>
    <row r="150" spans="1:2" x14ac:dyDescent="0.25">
      <c r="A150" s="75" t="s">
        <v>459</v>
      </c>
    </row>
    <row r="151" spans="1:2" x14ac:dyDescent="0.25">
      <c r="A151" s="75"/>
    </row>
    <row r="152" spans="1:2" x14ac:dyDescent="0.25">
      <c r="A152" s="75" t="s">
        <v>460</v>
      </c>
    </row>
    <row r="153" spans="1:2" x14ac:dyDescent="0.25">
      <c r="A153" s="75"/>
    </row>
    <row r="154" spans="1:2" x14ac:dyDescent="0.25">
      <c r="A154" s="75" t="s">
        <v>461</v>
      </c>
    </row>
    <row r="158" spans="1:2" ht="18" x14ac:dyDescent="0.25">
      <c r="A158" s="74" t="s">
        <v>462</v>
      </c>
    </row>
    <row r="160" spans="1:2" x14ac:dyDescent="0.25">
      <c r="A160" s="77" t="s">
        <v>199</v>
      </c>
      <c r="B160" s="77" t="s">
        <v>463</v>
      </c>
    </row>
    <row r="161" spans="1:2" x14ac:dyDescent="0.25">
      <c r="A161" s="78" t="s">
        <v>464</v>
      </c>
      <c r="B161" s="78" t="s">
        <v>465</v>
      </c>
    </row>
    <row r="162" spans="1:2" ht="30" x14ac:dyDescent="0.25">
      <c r="A162" s="78" t="s">
        <v>466</v>
      </c>
      <c r="B162" s="78" t="s">
        <v>467</v>
      </c>
    </row>
    <row r="163" spans="1:2" ht="30" x14ac:dyDescent="0.25">
      <c r="A163" s="78" t="s">
        <v>468</v>
      </c>
      <c r="B163" s="78" t="s">
        <v>469</v>
      </c>
    </row>
    <row r="164" spans="1:2" ht="30" x14ac:dyDescent="0.25">
      <c r="A164" s="78" t="s">
        <v>470</v>
      </c>
      <c r="B164" s="78" t="s">
        <v>471</v>
      </c>
    </row>
    <row r="167" spans="1:2" ht="18" x14ac:dyDescent="0.25">
      <c r="A167" s="74" t="s">
        <v>472</v>
      </c>
    </row>
    <row r="168" spans="1:2" x14ac:dyDescent="0.25">
      <c r="A168" s="75"/>
    </row>
    <row r="169" spans="1:2" x14ac:dyDescent="0.25">
      <c r="A169" s="75" t="s">
        <v>473</v>
      </c>
    </row>
    <row r="170" spans="1:2" x14ac:dyDescent="0.25">
      <c r="A170" s="75"/>
    </row>
    <row r="171" spans="1:2" x14ac:dyDescent="0.25">
      <c r="A171" s="75" t="s">
        <v>474</v>
      </c>
    </row>
    <row r="172" spans="1:2" x14ac:dyDescent="0.25">
      <c r="A172" s="75"/>
    </row>
    <row r="173" spans="1:2" x14ac:dyDescent="0.25">
      <c r="A173" s="75" t="s">
        <v>475</v>
      </c>
    </row>
    <row r="174" spans="1:2" x14ac:dyDescent="0.25">
      <c r="A174" s="75"/>
    </row>
    <row r="175" spans="1:2" x14ac:dyDescent="0.25">
      <c r="A175" s="75" t="s">
        <v>476</v>
      </c>
    </row>
    <row r="176" spans="1:2" x14ac:dyDescent="0.25">
      <c r="A176" s="75"/>
    </row>
    <row r="177" spans="1:1" x14ac:dyDescent="0.25">
      <c r="A177" s="75" t="s">
        <v>477</v>
      </c>
    </row>
    <row r="178" spans="1:1" x14ac:dyDescent="0.25">
      <c r="A178" s="75"/>
    </row>
    <row r="179" spans="1:1" x14ac:dyDescent="0.25">
      <c r="A179" s="75" t="s">
        <v>478</v>
      </c>
    </row>
    <row r="183" spans="1:1" ht="18" x14ac:dyDescent="0.25">
      <c r="A183" s="74" t="s">
        <v>479</v>
      </c>
    </row>
    <row r="185" spans="1:1" x14ac:dyDescent="0.25">
      <c r="A185" t="s">
        <v>480</v>
      </c>
    </row>
    <row r="186" spans="1:1" x14ac:dyDescent="0.25">
      <c r="A186" s="75"/>
    </row>
    <row r="187" spans="1:1" x14ac:dyDescent="0.25">
      <c r="A187" s="75" t="s">
        <v>481</v>
      </c>
    </row>
    <row r="188" spans="1:1" x14ac:dyDescent="0.25">
      <c r="A188" s="75"/>
    </row>
    <row r="189" spans="1:1" x14ac:dyDescent="0.25">
      <c r="A189" s="75" t="s">
        <v>482</v>
      </c>
    </row>
    <row r="190" spans="1:1" x14ac:dyDescent="0.25">
      <c r="A190" s="75"/>
    </row>
    <row r="191" spans="1:1" x14ac:dyDescent="0.25">
      <c r="A191" s="75" t="s">
        <v>483</v>
      </c>
    </row>
    <row r="192" spans="1:1" x14ac:dyDescent="0.25">
      <c r="A192" s="75"/>
    </row>
    <row r="193" spans="1:1" x14ac:dyDescent="0.25">
      <c r="A193" s="75" t="s">
        <v>484</v>
      </c>
    </row>
    <row r="194" spans="1:1" x14ac:dyDescent="0.25">
      <c r="A194" s="75"/>
    </row>
    <row r="195" spans="1:1" x14ac:dyDescent="0.25">
      <c r="A195" s="75" t="s">
        <v>485</v>
      </c>
    </row>
    <row r="199" spans="1:1" ht="18" x14ac:dyDescent="0.25">
      <c r="A199" s="74" t="s">
        <v>486</v>
      </c>
    </row>
    <row r="200" spans="1:1" x14ac:dyDescent="0.25">
      <c r="A200" s="75"/>
    </row>
    <row r="201" spans="1:1" x14ac:dyDescent="0.25">
      <c r="A201" s="75" t="s">
        <v>487</v>
      </c>
    </row>
    <row r="202" spans="1:1" x14ac:dyDescent="0.25">
      <c r="A202" s="75"/>
    </row>
    <row r="203" spans="1:1" x14ac:dyDescent="0.25">
      <c r="A203" s="75" t="s">
        <v>488</v>
      </c>
    </row>
    <row r="204" spans="1:1" x14ac:dyDescent="0.25">
      <c r="A204" s="75"/>
    </row>
    <row r="205" spans="1:1" x14ac:dyDescent="0.25">
      <c r="A205" s="75" t="s">
        <v>489</v>
      </c>
    </row>
    <row r="206" spans="1:1" x14ac:dyDescent="0.25">
      <c r="A206" s="75"/>
    </row>
    <row r="207" spans="1:1" x14ac:dyDescent="0.25">
      <c r="A207" s="75" t="s">
        <v>490</v>
      </c>
    </row>
    <row r="208" spans="1:1" x14ac:dyDescent="0.25">
      <c r="A208" s="75"/>
    </row>
    <row r="209" spans="1:1" x14ac:dyDescent="0.25">
      <c r="A209" s="75" t="s">
        <v>491</v>
      </c>
    </row>
    <row r="213" spans="1:1" x14ac:dyDescent="0.25">
      <c r="A213" t="s">
        <v>492</v>
      </c>
    </row>
  </sheetData>
  <mergeCells count="10">
    <mergeCell ref="H45:I45"/>
    <mergeCell ref="J45:L45"/>
    <mergeCell ref="O6:Q6"/>
    <mergeCell ref="O7:Q7"/>
    <mergeCell ref="O8:Q8"/>
    <mergeCell ref="O9:Q9"/>
    <mergeCell ref="O10:Q10"/>
    <mergeCell ref="H11:J11"/>
    <mergeCell ref="N14:N16"/>
    <mergeCell ref="M14:M16"/>
  </mergeCells>
  <pageMargins left="0.25" right="0.25"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L15:R21"/>
  <sheetViews>
    <sheetView workbookViewId="0">
      <selection activeCell="AA19" sqref="AA19"/>
    </sheetView>
  </sheetViews>
  <sheetFormatPr defaultRowHeight="15" x14ac:dyDescent="0.25"/>
  <sheetData>
    <row r="15" spans="13:18" x14ac:dyDescent="0.25">
      <c r="R15">
        <v>181260</v>
      </c>
    </row>
    <row r="16" spans="13:18" x14ac:dyDescent="0.25">
      <c r="M16">
        <v>202760</v>
      </c>
      <c r="N16" t="s">
        <v>210</v>
      </c>
      <c r="R16">
        <v>19000</v>
      </c>
    </row>
    <row r="17" spans="12:18" x14ac:dyDescent="0.25">
      <c r="L17">
        <v>26000</v>
      </c>
      <c r="M17">
        <v>155000</v>
      </c>
      <c r="R17">
        <v>7000</v>
      </c>
    </row>
    <row r="18" spans="12:18" x14ac:dyDescent="0.25">
      <c r="M18">
        <f>M16-M17</f>
        <v>47760</v>
      </c>
      <c r="N18">
        <f>M18-L17</f>
        <v>21760</v>
      </c>
      <c r="R18">
        <f>SUM(R15:R17)</f>
        <v>207260</v>
      </c>
    </row>
    <row r="19" spans="12:18" x14ac:dyDescent="0.25">
      <c r="R19">
        <v>155000</v>
      </c>
    </row>
    <row r="20" spans="12:18" x14ac:dyDescent="0.25">
      <c r="R20">
        <v>26000</v>
      </c>
    </row>
    <row r="21" spans="12:18" x14ac:dyDescent="0.25">
      <c r="R21">
        <f>R18-R19-R20</f>
        <v>26260</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QUOTATION</vt:lpstr>
      <vt:lpstr>Inventry</vt:lpstr>
      <vt:lpstr>DATA</vt:lpstr>
      <vt:lpstr>PRICE LIST</vt:lpstr>
      <vt:lpstr>Sheet1</vt:lpstr>
      <vt:lpstr>Sheet2</vt:lpstr>
      <vt:lpstr>QUOTATION!Print_Area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Welcome</cp:lastModifiedBy>
  <cp:lastPrinted>2026-01-21T08:23:51Z</cp:lastPrinted>
  <dcterms:created xsi:type="dcterms:W3CDTF">2015-06-05T18:17:20Z</dcterms:created>
  <dcterms:modified xsi:type="dcterms:W3CDTF">2026-01-21T08:36:37Z</dcterms:modified>
</cp:coreProperties>
</file>